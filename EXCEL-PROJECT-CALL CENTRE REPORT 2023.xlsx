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hidePivotFieldList="1"/>
  <mc:AlternateContent xmlns:mc="http://schemas.openxmlformats.org/markup-compatibility/2006">
    <mc:Choice Requires="x15">
      <x15ac:absPath xmlns:x15ac="http://schemas.microsoft.com/office/spreadsheetml/2010/11/ac" url="https://d.docs.live.net/89015830365AE638/Documents/"/>
    </mc:Choice>
  </mc:AlternateContent>
  <xr:revisionPtr revIDLastSave="11" documentId="8_{F5BA6D5E-7E50-4FD4-81A3-B6550A7AA43A}" xr6:coauthVersionLast="47" xr6:coauthVersionMax="47" xr10:uidLastSave="{398D2260-71C7-43F8-ADE8-E5FDDC965B33}"/>
  <bookViews>
    <workbookView xWindow="-108" yWindow="-108" windowWidth="23256" windowHeight="12456" activeTab="3" xr2:uid="{26D4546B-D2A1-4444-8EAF-A6228F96F0C1}"/>
  </bookViews>
  <sheets>
    <sheet name="pivots" sheetId="7" r:id="rId1"/>
    <sheet name="Data" sheetId="2" r:id="rId2"/>
    <sheet name="Assets" sheetId="4" r:id="rId3"/>
    <sheet name="MY 1ST EXCEL PROJECT CALL CENTE" sheetId="6" r:id="rId4"/>
  </sheets>
  <definedNames>
    <definedName name="_xlnm._FilterDatabase" localSheetId="1"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32" r:id="rId9"/>
    <pivotCache cacheId="35" r:id="rId10"/>
    <pivotCache cacheId="38" r:id="rId11"/>
    <pivotCache cacheId="41" r:id="rId12"/>
    <pivotCache cacheId="44" r:id="rId13"/>
    <pivotCache cacheId="47"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5" i="7" l="1"/>
  <c r="H39" i="7" s="1"/>
  <c r="H41" i="7" l="1"/>
  <c r="I41" i="7"/>
  <c r="H38" i="7"/>
  <c r="I42" i="7"/>
  <c r="H42" i="7"/>
  <c r="H40" i="7"/>
  <c r="I40" i="7"/>
  <c r="I39" i="7"/>
  <c r="I38" i="7"/>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c r="K32" i="2" a="1"/>
  <c r="K32" i="2" s="1"/>
  <c r="K33" i="2" a="1"/>
  <c r="K33" i="2" s="1"/>
  <c r="K34" i="2" a="1"/>
  <c r="K34" i="2" s="1"/>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c r="K75" i="2" a="1"/>
  <c r="K75" i="2" s="1"/>
  <c r="K76" i="2" a="1"/>
  <c r="K76" i="2"/>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c r="K131" i="2" a="1"/>
  <c r="K131" i="2" s="1"/>
  <c r="K132" i="2" a="1"/>
  <c r="K132" i="2" s="1"/>
  <c r="K133" i="2" a="1"/>
  <c r="K133" i="2" s="1"/>
  <c r="K134" i="2" a="1"/>
  <c r="K134" i="2" s="1"/>
  <c r="K135" i="2" a="1"/>
  <c r="K135" i="2" s="1"/>
  <c r="K136" i="2" a="1"/>
  <c r="K136" i="2" s="1"/>
  <c r="K137" i="2" a="1"/>
  <c r="K137" i="2" s="1"/>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c r="K493" i="2" a="1"/>
  <c r="K493" i="2" s="1"/>
  <c r="K494" i="2" a="1"/>
  <c r="K494" i="2" s="1"/>
  <c r="K495" i="2" a="1"/>
  <c r="K495" i="2" s="1"/>
  <c r="K496" i="2" a="1"/>
  <c r="K496" i="2" s="1"/>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s="1"/>
  <c r="K514" i="2" a="1"/>
  <c r="K514" i="2" s="1"/>
  <c r="K515" i="2" a="1"/>
  <c r="K515" i="2" s="1"/>
  <c r="K516" i="2" a="1"/>
  <c r="K516" i="2" s="1"/>
  <c r="K517" i="2" a="1"/>
  <c r="K517" i="2"/>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s="1"/>
  <c r="K556" i="2" a="1"/>
  <c r="K556" i="2" s="1"/>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s="1"/>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s="1"/>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s="1"/>
  <c r="K725" i="2" a="1"/>
  <c r="K725" i="2" s="1"/>
  <c r="K726" i="2" a="1"/>
  <c r="K726" i="2" s="1"/>
  <c r="K727" i="2" a="1"/>
  <c r="K727" i="2" s="1"/>
  <c r="K728" i="2" a="1"/>
  <c r="K728" i="2" s="1"/>
  <c r="K729" i="2" a="1"/>
  <c r="K729" i="2" s="1"/>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c r="K763" i="2" a="1"/>
  <c r="K763" i="2" s="1"/>
  <c r="K764" i="2" a="1"/>
  <c r="K764" i="2" s="1"/>
  <c r="K765" i="2" a="1"/>
  <c r="K765" i="2"/>
  <c r="K766" i="2" a="1"/>
  <c r="K766" i="2" s="1"/>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s="1"/>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s="1"/>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c r="K991" i="2" a="1"/>
  <c r="K991" i="2" s="1"/>
  <c r="K992" i="2" a="1"/>
  <c r="K992" i="2" s="1"/>
  <c r="K993" i="2" a="1"/>
  <c r="K993" i="2" s="1"/>
  <c r="K994" i="2" a="1"/>
  <c r="K994" i="2"/>
  <c r="K995" i="2" a="1"/>
  <c r="K995" i="2" s="1"/>
  <c r="K996" i="2" a="1"/>
  <c r="K996" i="2" s="1"/>
  <c r="K997" i="2" a="1"/>
  <c r="K997" i="2"/>
  <c r="K998" i="2" a="1"/>
  <c r="K998" i="2" s="1"/>
  <c r="K999" i="2" a="1"/>
  <c r="K999" i="2" s="1"/>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980239-9F35-478E-B689-E343C11FDFAA}"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1029D87-7CBF-4FF9-BC99-BCF2DF0085FD}" name="WorksheetConnection_07.sample-data-excel-portfolio-project.xlsx!calls" type="102" refreshedVersion="6"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9BD103A3-2461-4E76-8A95-973E56B87AD2}" name="WorksheetConnection_07.sample-data-excel-portfolio-project.xlsx!customers" type="102" refreshedVersion="6"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sharedStrings.xml><?xml version="1.0" encoding="utf-8"?>
<sst xmlns="http://schemas.openxmlformats.org/spreadsheetml/2006/main" count="3208" uniqueCount="1092">
  <si>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</si>
  <si>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</si>
  <si>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</si>
  <si>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</si>
  <si>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</si>
  <si>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</si>
  <si>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</si>
  <si>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</si>
  <si>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</si>
  <si>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</si>
  <si>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</si>
  <si>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</si>
  <si>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</si>
  <si>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</si>
  <si>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</si>
  <si>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</si>
  <si>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</si>
  <si>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</si>
  <si>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</si>
  <si>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</si>
  <si>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</si>
  <si>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</si>
  <si>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</si>
  <si>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</si>
  <si>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</si>
  <si>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</si>
  <si>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</si>
  <si>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</si>
  <si>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</si>
  <si>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</si>
  <si>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</si>
  <si>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</si>
  <si>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</si>
  <si>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</si>
  <si>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</si>
  <si>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</si>
  <si>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</si>
  <si>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</si>
  <si>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</si>
  <si>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</si>
  <si>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</si>
  <si>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</si>
  <si>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</si>
  <si>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</si>
  <si>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</si>
  <si>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</si>
  <si>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</si>
  <si>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</si>
  <si>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</si>
  <si>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</si>
  <si>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</si>
  <si>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</si>
  <si>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</si>
  <si>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</si>
  <si>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</si>
  <si>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</si>
  <si>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</si>
  <si>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</si>
  <si>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</si>
  <si>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</si>
  <si>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</si>
  <si>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</si>
  <si>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</si>
  <si>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</si>
  <si>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</si>
  <si>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</si>
  <si>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</si>
  <si>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</si>
  <si>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</si>
  <si>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</si>
  <si>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</si>
  <si>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</si>
  <si>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</si>
  <si>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</si>
  <si>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</si>
  <si>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</si>
  <si>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</si>
  <si>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</si>
  <si>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</si>
  <si>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</si>
  <si>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</si>
  <si>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</si>
  <si>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</si>
  <si>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</si>
  <si>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</si>
  <si>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</si>
  <si>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</si>
  <si>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</si>
  <si>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</si>
  <si>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</si>
  <si>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</si>
  <si>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</si>
  <si>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</si>
  <si>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</si>
  <si>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</si>
  <si>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</si>
  <si>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</si>
  <si>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</si>
  <si>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</si>
  <si>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</si>
  <si>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</si>
  <si>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</si>
  <si>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</si>
  <si>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</si>
  <si>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</si>
  <si>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</si>
  <si>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</si>
  <si>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</si>
  <si>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</si>
  <si>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</si>
  <si>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</si>
  <si>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</si>
  <si>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</si>
  <si>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</si>
  <si>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</si>
  <si>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</si>
  <si>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</si>
  <si>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</si>
  <si>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</si>
  <si>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</si>
  <si>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</si>
  <si>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</si>
  <si>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</si>
  <si>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</si>
  <si>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</si>
  <si>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</si>
  <si>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</si>
  <si>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</si>
  <si>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</si>
  <si>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</si>
  <si>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</si>
  <si>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</si>
  <si>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</si>
  <si>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</si>
  <si>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</si>
  <si>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</si>
  <si>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</si>
  <si>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</si>
  <si>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</si>
  <si>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</si>
  <si>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</si>
  <si>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</si>
  <si>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</si>
  <si>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</si>
  <si>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</si>
  <si>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</si>
  <si>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</si>
  <si>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</si>
  <si>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</si>
  <si>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</si>
  <si>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</si>
  <si>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</si>
  <si>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</si>
  <si>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</si>
  <si>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</si>
  <si>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</si>
  <si>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</si>
  <si>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</si>
  <si>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</si>
  <si>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</si>
  <si>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</si>
  <si>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</si>
  <si>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</si>
  <si>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</si>
  <si>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</si>
  <si>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</si>
  <si>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</si>
  <si>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</si>
  <si>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</si>
  <si>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</si>
  <si>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</si>
  <si>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</si>
  <si>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</si>
  <si>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</si>
  <si>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</si>
  <si>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</si>
  <si>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</si>
  <si>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</si>
  <si>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</si>
  <si>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</si>
  <si>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</si>
  <si>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</si>
  <si>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</si>
  <si>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</si>
  <si>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</si>
  <si>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</si>
  <si>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</si>
  <si>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</si>
  <si>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</si>
  <si>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</si>
  <si>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</si>
  <si>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</si>
  <si>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</si>
  <si>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</si>
  <si>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</si>
  <si>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</si>
  <si>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</si>
  <si>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</si>
  <si>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</si>
  <si>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</si>
  <si>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</si>
  <si>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</si>
  <si>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</si>
  <si>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</si>
  <si>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</si>
  <si>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</si>
  <si>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</si>
  <si>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</si>
  <si>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</si>
  <si>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</si>
  <si>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</si>
  <si>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</si>
  <si>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</si>
  <si>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</si>
  <si>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</si>
  <si>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</si>
  <si>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</si>
  <si>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</si>
  <si>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</si>
  <si>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</si>
  <si>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</si>
  <si>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</si>
  <si>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</si>
  <si>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</si>
  <si>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</si>
  <si>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</si>
  <si>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</si>
  <si>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</si>
  <si>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</si>
  <si>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</si>
  <si>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</si>
  <si>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</si>
  <si>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</si>
  <si>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</si>
  <si>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</si>
  <si>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</si>
  <si>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</si>
  <si>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</si>
  <si>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</si>
  <si>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</si>
  <si>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</si>
  <si>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</si>
  <si>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</si>
  <si>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</si>
  <si>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</si>
  <si>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</si>
  <si>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</si>
  <si>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</si>
  <si>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</si>
  <si>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</si>
  <si>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</si>
  <si>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</si>
  <si>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</si>
  <si>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</si>
  <si>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</si>
  <si>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</si>
  <si>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</si>
  <si>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</si>
  <si>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</si>
  <si>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</si>
  <si>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</si>
  <si>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</si>
  <si>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</si>
  <si>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</si>
  <si>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</si>
  <si>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</si>
  <si>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</si>
  <si>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</si>
  <si>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</si>
  <si>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</si>
  <si>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</si>
  <si>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</si>
  <si>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</si>
  <si>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</si>
  <si>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</si>
  <si>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</si>
  <si>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</si>
  <si>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</si>
  <si>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</si>
  <si>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</si>
  <si>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</si>
  <si>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</si>
  <si>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</si>
  <si>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</si>
  <si>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</si>
  <si>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</si>
  <si>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</si>
  <si>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</si>
  <si>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</si>
  <si>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</si>
  <si>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</si>
  <si>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</si>
  <si>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</si>
  <si>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</si>
  <si>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</si>
  <si>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</si>
  <si>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</si>
  <si>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</si>
  <si>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</si>
  <si>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</si>
  <si>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</si>
  <si>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</si>
  <si>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</si>
  <si>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</si>
  <si>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</si>
  <si>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</si>
  <si>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</si>
  <si>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</si>
  <si>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</si>
  <si>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</si>
  <si>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</si>
  <si>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</si>
  <si>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</si>
  <si>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</si>
  <si>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</si>
  <si>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</si>
  <si>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</si>
  <si>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</si>
  <si>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</si>
  <si>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</si>
  <si>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</si>
  <si>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</si>
  <si>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</si>
  <si>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</si>
  <si>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</si>
  <si>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</si>
  <si>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</si>
  <si>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</si>
  <si>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</si>
  <si>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</si>
  <si>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</si>
  <si>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</si>
  <si>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</si>
  <si>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</si>
  <si>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</si>
  <si>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</si>
  <si>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</si>
  <si>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</si>
  <si>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</si>
  <si>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</si>
  <si>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</si>
  <si>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</si>
  <si>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</si>
  <si>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</si>
  <si>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</si>
  <si>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</si>
  <si>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</si>
  <si>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</si>
  <si>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</si>
  <si>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</si>
  <si>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</si>
  <si>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</si>
  <si>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</si>
  <si>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</si>
  <si>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</si>
  <si>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</si>
  <si>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</si>
  <si>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</si>
  <si>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</si>
  <si>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</si>
  <si>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</si>
  <si>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</si>
  <si>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</si>
  <si>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</si>
  <si>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</si>
  <si>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</si>
  <si>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</si>
  <si>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</si>
  <si>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</si>
  <si>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</si>
  <si>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</si>
  <si>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</si>
  <si>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</si>
  <si>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</si>
  <si>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</si>
  <si>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</si>
  <si>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</si>
  <si>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</si>
  <si>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</si>
  <si>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</si>
  <si>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</si>
  <si>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</si>
  <si>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</si>
  <si>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</si>
  <si>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</si>
  <si>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</si>
  <si>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</si>
  <si>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</si>
  <si>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</si>
  <si>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</si>
  <si>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</si>
  <si>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</si>
  <si>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</si>
  <si>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</si>
  <si>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</si>
  <si>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</si>
  <si>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</si>
  <si>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</si>
  <si>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</si>
  <si>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</si>
  <si>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</si>
  <si>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</si>
  <si>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</si>
  <si>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</si>
  <si>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</si>
  <si>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</si>
  <si>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</si>
  <si>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</si>
  <si>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</si>
  <si>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</si>
  <si>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</si>
  <si>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</si>
  <si>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</si>
  <si>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</si>
  <si>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</si>
  <si>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</si>
  <si>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</si>
  <si>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</si>
  <si>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</si>
  <si>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</si>
  <si>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</si>
  <si>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</si>
  <si>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</si>
  <si>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</si>
  <si>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</si>
  <si>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</si>
  <si>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</si>
  <si>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</si>
  <si>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</si>
  <si>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</si>
  <si>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</si>
  <si>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</si>
  <si>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</si>
  <si>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</si>
  <si>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</si>
  <si>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</si>
  <si>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</si>
  <si>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</si>
  <si>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</si>
  <si>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</si>
  <si>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</si>
  <si>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</si>
  <si>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</si>
  <si>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</si>
  <si>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</si>
  <si>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</si>
  <si>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</si>
  <si>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</si>
  <si>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</si>
  <si>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</si>
  <si>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</si>
  <si>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</si>
  <si>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</si>
  <si>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</si>
  <si>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</si>
  <si>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</si>
  <si>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</si>
  <si>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</si>
  <si>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</si>
  <si>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</si>
  <si>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</si>
  <si>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</si>
  <si>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</si>
  <si>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</si>
  <si>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</si>
  <si>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</si>
  <si>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</si>
  <si>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</si>
  <si>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</si>
  <si>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</si>
  <si>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</si>
  <si>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</si>
  <si>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</si>
  <si>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</si>
  <si>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</si>
  <si>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</si>
  <si>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</si>
  <si>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</si>
  <si>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</si>
  <si>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</si>
  <si>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</si>
  <si>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</si>
  <si>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</si>
  <si>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</si>
  <si>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</si>
  <si>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</si>
  <si>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</si>
  <si>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</si>
  <si>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</si>
  <si>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</si>
  <si>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</si>
  <si>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</si>
  <si>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</si>
  <si>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</si>
  <si>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</si>
  <si>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</si>
  <si>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</si>
  <si>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</si>
  <si>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</si>
  <si>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</si>
  <si>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</si>
  <si>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</si>
  <si>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</si>
  <si>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</si>
  <si>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</si>
  <si>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</si>
  <si>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</si>
  <si>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</si>
  <si>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</si>
  <si>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</si>
  <si>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</si>
  <si>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</si>
  <si>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</si>
  <si>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</si>
  <si>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</si>
  <si>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</si>
  <si>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</si>
  <si>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</si>
  <si>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</si>
  <si>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</si>
  <si>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</si>
  <si>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</si>
  <si>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</si>
  <si>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</si>
  <si>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</si>
  <si>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</si>
  <si>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</si>
  <si>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</si>
  <si>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</si>
  <si>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</si>
  <si>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</si>
  <si>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</si>
  <si>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</si>
  <si>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</si>
  <si>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</si>
  <si>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</si>
  <si>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</si>
  <si>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</si>
  <si>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</si>
  <si>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</si>
  <si>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</si>
  <si>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</si>
  <si>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</si>
  <si>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</si>
  <si>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</si>
  <si>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</si>
  <si>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</si>
  <si>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</si>
  <si>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</si>
  <si>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</si>
  <si>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</si>
  <si>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</si>
  <si>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</si>
  <si>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</si>
  <si>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</si>
  <si>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</si>
  <si>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</si>
  <si>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</si>
  <si>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</si>
  <si>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</si>
  <si>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</si>
  <si>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</si>
  <si>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</si>
  <si>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</si>
  <si>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</si>
  <si>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</si>
  <si>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</si>
  <si>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</si>
  <si>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</si>
  <si>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</si>
  <si>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</si>
  <si>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</si>
  <si>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</si>
  <si>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</si>
  <si>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</si>
  <si>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</si>
  <si>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</si>
  <si>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</si>
  <si>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</si>
  <si>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</si>
  <si>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</si>
  <si>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</si>
  <si>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</si>
  <si>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</si>
  <si>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</si>
  <si>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</si>
  <si>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</si>
  <si>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</si>
  <si>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</si>
  <si>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</si>
  <si>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</si>
  <si>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</si>
  <si>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</si>
  <si>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</si>
  <si>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</si>
  <si>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</si>
  <si>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</si>
  <si>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</si>
  <si>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</si>
  <si>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</si>
  <si>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</si>
  <si>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</si>
  <si>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</si>
  <si>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</si>
  <si>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</si>
  <si>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</si>
  <si>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</si>
  <si>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</si>
  <si>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</si>
  <si>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</si>
  <si>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</si>
  <si>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</si>
  <si>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</si>
  <si>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</si>
  <si>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</si>
  <si>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</si>
  <si>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</si>
  <si>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</si>
  <si>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</si>
  <si>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</si>
  <si>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</si>
  <si>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</si>
  <si>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</si>
  <si>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</si>
  <si>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</si>
  <si>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</si>
  <si>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</si>
  <si>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</si>
  <si>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</si>
  <si>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</si>
  <si>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</si>
  <si>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</si>
  <si>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</si>
  <si>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</si>
  <si>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</si>
  <si>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</si>
  <si>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</si>
  <si>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</si>
  <si>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</si>
  <si>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</si>
  <si>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</si>
  <si>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</si>
  <si>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</si>
  <si>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</si>
  <si>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</si>
  <si>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</si>
  <si>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</si>
  <si>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</si>
  <si>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</si>
  <si>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</si>
  <si>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</si>
  <si>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</si>
  <si>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</si>
  <si>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</si>
  <si>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</si>
  <si>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</si>
  <si>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</si>
  <si>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</si>
  <si>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</si>
  <si>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</si>
  <si>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</si>
  <si>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</si>
  <si>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</si>
  <si>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</si>
  <si>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</si>
  <si>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</si>
  <si>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</si>
  <si>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</si>
  <si>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</si>
  <si>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</si>
  <si>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</si>
  <si>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</si>
  <si>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</si>
  <si>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</si>
  <si>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</si>
  <si>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</si>
  <si>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</si>
  <si>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</si>
  <si>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</si>
  <si>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</si>
  <si>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</si>
  <si>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</si>
  <si>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</si>
  <si>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</si>
  <si>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</si>
  <si>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</si>
  <si>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</si>
  <si>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</si>
  <si>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</si>
  <si>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</si>
  <si>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</si>
  <si>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</si>
  <si>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</si>
  <si>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</si>
  <si>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</si>
  <si>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</si>
  <si>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</si>
  <si>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</si>
  <si>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</si>
  <si>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</si>
  <si>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</si>
  <si>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</si>
  <si>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</si>
  <si>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</si>
  <si>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</si>
  <si>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</si>
  <si>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</si>
  <si>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</si>
  <si>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</si>
  <si>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</si>
  <si>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</si>
  <si>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</si>
  <si>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</si>
  <si>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</si>
  <si>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</si>
  <si>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</si>
  <si>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</si>
  <si>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</si>
  <si>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</si>
  <si>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</si>
  <si>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</si>
  <si>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</si>
  <si>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</si>
  <si>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</si>
  <si>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</si>
  <si>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</si>
  <si>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</si>
  <si>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</si>
  <si>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</si>
  <si>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</si>
  <si>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</si>
  <si>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</si>
  <si>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</si>
  <si>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</si>
  <si>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</si>
  <si>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</si>
  <si>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</si>
  <si>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</si>
  <si>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</si>
  <si>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</si>
  <si>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</si>
  <si>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</si>
  <si>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</si>
  <si>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</si>
  <si>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</si>
  <si>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</si>
  <si>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</si>
  <si>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</si>
  <si>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</si>
  <si>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</si>
  <si>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</si>
  <si>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</si>
  <si>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</si>
  <si>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</si>
  <si>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</si>
  <si>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</si>
  <si>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</si>
  <si>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</si>
  <si>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</si>
  <si>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</si>
  <si>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</si>
  <si>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</si>
  <si>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</si>
  <si>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</si>
  <si>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</si>
  <si>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</si>
  <si>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</si>
  <si>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</si>
  <si>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</si>
  <si>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</si>
  <si>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</si>
  <si>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</si>
  <si>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</si>
  <si>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</si>
  <si>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</si>
  <si>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</si>
  <si>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</si>
  <si>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</si>
  <si>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</si>
  <si>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</si>
  <si>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</si>
  <si>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</si>
  <si>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</si>
  <si>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</si>
  <si>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</si>
  <si>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</si>
  <si>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</si>
  <si>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</si>
  <si>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</si>
  <si>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</si>
  <si>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</si>
  <si>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</si>
  <si>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</si>
  <si>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</si>
  <si>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</si>
  <si>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</si>
  <si>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</si>
  <si>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</si>
  <si>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</si>
  <si>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</si>
  <si>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</si>
  <si>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</si>
  <si>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</si>
  <si>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</si>
  <si>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</si>
  <si>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</si>
  <si>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</si>
  <si>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</si>
  <si>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</si>
  <si>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</si>
  <si>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</si>
  <si>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</si>
  <si>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</si>
  <si>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</si>
  <si>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</si>
  <si>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</si>
  <si>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</si>
  <si>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</si>
  <si>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</si>
  <si>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</si>
  <si>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</si>
  <si>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</si>
  <si>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</si>
  <si>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</si>
  <si>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</si>
  <si>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</si>
  <si>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</si>
  <si>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</si>
  <si>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</si>
  <si>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</si>
  <si>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</si>
  <si>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</si>
  <si>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</si>
  <si>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</si>
  <si>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</si>
  <si>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</si>
  <si>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</si>
  <si>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</si>
  <si>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</si>
  <si>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</si>
  <si>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</si>
  <si>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</si>
  <si>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</si>
  <si>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</si>
  <si>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</si>
  <si>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</si>
  <si>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</si>
  <si>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</si>
  <si>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</si>
  <si>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</si>
  <si>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</si>
  <si>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</si>
  <si>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</si>
  <si>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</si>
  <si>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</si>
  <si>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</si>
  <si>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</si>
  <si>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</si>
  <si>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</si>
  <si>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</si>
  <si>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</si>
  <si>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</si>
  <si>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</si>
  <si>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</si>
  <si>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</si>
  <si>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</si>
  <si>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</si>
  <si>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</si>
  <si>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</si>
  <si>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</si>
  <si>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</si>
  <si>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</si>
  <si>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</si>
  <si>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</si>
  <si>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</si>
  <si>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</si>
  <si>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</si>
  <si>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</si>
  <si>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</si>
  <si>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</si>
  <si>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</si>
  <si>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</si>
  <si>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</si>
  <si>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</si>
  <si>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</si>
  <si>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</si>
  <si>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</si>
  <si>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</si>
  <si>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</si>
  <si>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</si>
  <si>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</si>
  <si>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</si>
  <si>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</si>
  <si>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</si>
  <si>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</si>
  <si>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</si>
  <si>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</si>
  <si>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</si>
  <si>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</si>
  <si>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</si>
  <si>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</si>
  <si>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</si>
  <si>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</si>
  <si>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</si>
  <si>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</si>
  <si>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</si>
  <si>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</si>
  <si>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</si>
  <si>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</si>
  <si>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</si>
  <si>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</si>
  <si>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</si>
  <si>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</si>
  <si>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</si>
  <si>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</si>
  <si>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</si>
  <si>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</si>
  <si>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</si>
  <si>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</si>
  <si>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</si>
  <si>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</si>
  <si>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</si>
  <si>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</si>
  <si>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</si>
  <si>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</si>
  <si>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</si>
  <si>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</si>
  <si>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</si>
  <si>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</si>
  <si>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</si>
  <si>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</si>
  <si>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</si>
  <si>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</si>
  <si>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</si>
  <si>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</si>
  <si>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</si>
  <si>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</si>
  <si>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</si>
  <si>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</si>
  <si>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</si>
  <si>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</si>
  <si>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</si>
  <si>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</si>
  <si>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</si>
  <si>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</si>
  <si>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</si>
  <si>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</si>
  <si>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</si>
  <si>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</si>
  <si>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</si>
  <si>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</si>
  <si>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</si>
  <si>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</si>
  <si>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</si>
  <si>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</si>
  <si>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</si>
  <si>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</si>
  <si>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</si>
  <si>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</si>
  <si>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</si>
  <si>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</si>
  <si>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</si>
  <si>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</si>
  <si>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</si>
  <si>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</si>
  <si>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</si>
  <si>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</si>
  <si>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</si>
  <si>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</si>
  <si>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</si>
  <si>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</si>
  <si>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</si>
  <si>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</si>
  <si>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</si>
  <si>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</si>
  <si>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</si>
  <si>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</si>
  <si>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</si>
  <si>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</si>
  <si>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</si>
  <si>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</si>
  <si>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</si>
  <si>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</si>
  <si>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</si>
  <si>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</si>
  <si>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</si>
  <si>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</si>
  <si>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</si>
  <si>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</si>
  <si>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</si>
  <si>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</si>
  <si>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</si>
  <si>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</si>
  <si>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</si>
  <si>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</si>
  <si>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</si>
  <si>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</si>
  <si>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</si>
  <si>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</si>
  <si>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</si>
  <si>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</si>
  <si>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</si>
  <si>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</si>
  <si>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</si>
  <si>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</si>
  <si>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</si>
  <si>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</si>
  <si>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</si>
  <si>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</si>
  <si>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</si>
  <si>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</si>
  <si>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</si>
  <si>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</si>
  <si>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</si>
  <si>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</si>
  <si>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</si>
  <si>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</si>
  <si>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</si>
  <si>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</si>
  <si>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</si>
  <si>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</si>
  <si>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</si>
  <si>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</si>
  <si>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</si>
  <si>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</si>
  <si>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</si>
  <si>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</si>
  <si>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</si>
  <si>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</si>
  <si>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</si>
  <si>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</si>
  <si>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</si>
  <si>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</si>
  <si>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</si>
  <si>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</si>
  <si>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</si>
  <si>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</si>
  <si>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</si>
  <si>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</si>
  <si>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</si>
  <si>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</si>
  <si>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</si>
  <si>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</si>
  <si>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</si>
  <si>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</si>
  <si>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</si>
  <si>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5*calls</t>
  </si>
  <si>
    <t>Sunday</t>
  </si>
  <si>
    <t>Monday</t>
  </si>
  <si>
    <t>Tuesday</t>
  </si>
  <si>
    <t>Wednesday</t>
  </si>
  <si>
    <t>Thursday</t>
  </si>
  <si>
    <t>Friday</t>
  </si>
  <si>
    <t>Saturday</t>
  </si>
  <si>
    <t>Row Labels</t>
  </si>
  <si>
    <t>Grand Total</t>
  </si>
  <si>
    <t>Jan</t>
  </si>
  <si>
    <t>Feb</t>
  </si>
  <si>
    <t>Mar</t>
  </si>
  <si>
    <t>Apr</t>
  </si>
  <si>
    <t>May</t>
  </si>
  <si>
    <t>Jun</t>
  </si>
  <si>
    <t>Jul</t>
  </si>
  <si>
    <t>Aug</t>
  </si>
  <si>
    <t>Sep</t>
  </si>
  <si>
    <t>Oct</t>
  </si>
  <si>
    <t>Nov</t>
  </si>
  <si>
    <t>Dec</t>
  </si>
  <si>
    <t>call count2</t>
  </si>
  <si>
    <t>sum of purchasse amount</t>
  </si>
  <si>
    <t>for graph</t>
  </si>
  <si>
    <t>Rep</t>
  </si>
  <si>
    <t>Calls</t>
  </si>
  <si>
    <t>Amount</t>
  </si>
  <si>
    <t>Sel.calls</t>
  </si>
  <si>
    <t>Sel.amount</t>
  </si>
  <si>
    <t>SELECTED REPS</t>
  </si>
  <si>
    <t>name weekly trend</t>
  </si>
  <si>
    <t>name monthly trend</t>
  </si>
  <si>
    <t>name reps</t>
  </si>
  <si>
    <t>name rep pivot</t>
  </si>
  <si>
    <t>name summary pivot</t>
  </si>
  <si>
    <t>Column Labels</t>
  </si>
  <si>
    <t>name rep satisfaction</t>
  </si>
  <si>
    <t>name revenue analysis</t>
  </si>
  <si>
    <t>sum of purchasing amount</t>
  </si>
  <si>
    <t>A person in a skirt and a cardigan</t>
  </si>
  <si>
    <t>Description automatically generated</t>
  </si>
  <si>
    <t>A person in a suit and tie</t>
  </si>
  <si>
    <t>Business woman raising hand</t>
  </si>
  <si>
    <t>Young businessman writing on notebook</t>
  </si>
  <si>
    <t>Business woman shrugging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</si>
</sst>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45C]#,##0"/>
    <numFmt numFmtId="166" formatCode="0.0"/>
    <numFmt numFmtId="167" formatCode="_-[$$-409]* #,##0.00_ ;_-[$$-409]* \-#,##0.00\ ;_-[$$-409]* &quot;-&quot;??_ ;_-@_ "/>
    <numFmt numFmtId="168" formatCode="_-[$$-409]* #,##0_ ;_-[$$-409]* \-#,##0\ ;_-[$$-409]* &quot;-&quot;??_ ;_-@_ "/>
  </numFmts>
  <fonts count="6" x14ac:knownFonts="1">
    <font>
      <sz val="11"/>
      <color theme="1"/>
      <name val="Arial"/>
      <family val="2"/>
      <scheme val="minor"/>
    </font>
    <font>
      <b/>
      <sz val="11"/>
      <color theme="1"/>
      <name val="Arial"/>
      <family val="2"/>
      <scheme val="minor"/>
    </font>
    <font>
      <sz val="8"/>
      <name val="Arial"/>
      <family val="2"/>
      <scheme val="minor"/>
    </font>
    <font>
      <sz val="18"/>
      <color theme="1"/>
      <name val="Aptos ExtraBold"/>
      <family val="2"/>
    </font>
    <font>
      <sz val="11"/>
      <color rgb="FF000000"/>
      <name val="Aptos"/>
      <family val="2"/>
    </font>
    <font>
      <sz val="11"/>
      <color theme="0" tint="-4.9989318521683403E-2"/>
      <name val="Arial"/>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1"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8" fontId="0" fillId="0" borderId="0" xfId="0" applyNumberFormat="1"/>
    <xf numFmtId="0" fontId="0" fillId="4" borderId="0" xfId="0" applyFill="1" applyAlignment="1">
      <alignment horizontal="left"/>
    </xf>
    <xf numFmtId="0" fontId="0" fillId="0" borderId="0" xfId="0" applyAlignment="1">
      <alignment horizontal="left" indent="1"/>
    </xf>
    <xf numFmtId="0" fontId="0" fillId="3" borderId="0" xfId="0" pivotButton="1" applyFill="1"/>
    <xf numFmtId="0" fontId="4" fillId="0" borderId="0" xfId="0" applyFont="1"/>
    <xf numFmtId="0" fontId="5" fillId="3" borderId="0" xfId="0" applyFont="1" applyFill="1"/>
    <xf numFmtId="0" fontId="4" fillId="0" borderId="0" xfId="0" applyFont="1"/>
  </cellXfs>
  <cellStyles count="1">
    <cellStyle name="Normal" xfId="0" builtinId="0"/>
  </cellStyles>
  <dxfs count="30">
    <dxf>
      <fill>
        <patternFill patternType="solid">
          <bgColor theme="0" tint="-4.9989318521683403E-2"/>
        </patternFill>
      </fill>
    </dxf>
    <dxf>
      <fill>
        <patternFill>
          <bgColor theme="4"/>
        </patternFill>
      </fill>
    </dxf>
    <dxf>
      <fill>
        <patternFill patternType="solid">
          <bgColor theme="0" tint="-4.9989318521683403E-2"/>
        </patternFill>
      </fill>
    </dxf>
    <dxf>
      <fill>
        <patternFill>
          <bgColor theme="4"/>
        </patternFill>
      </fill>
    </dxf>
    <dxf>
      <fill>
        <patternFill>
          <bgColor theme="2"/>
        </patternFill>
      </fill>
      <border>
        <left style="thin">
          <color auto="1"/>
        </left>
        <right style="thin">
          <color auto="1"/>
        </right>
        <vertical/>
        <horizontal/>
      </border>
    </dxf>
    <dxf>
      <fill>
        <patternFill>
          <bgColor theme="6" tint="0.79998168889431442"/>
        </patternFill>
      </fill>
      <border>
        <left style="thin">
          <color auto="1"/>
        </left>
        <right style="thin">
          <color auto="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bgColor theme="4"/>
        </patternFill>
      </fill>
    </dxf>
    <dxf>
      <fill>
        <patternFill patternType="solid">
          <bgColor theme="0" tint="-4.9989318521683403E-2"/>
        </patternFill>
      </fill>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7" formatCode="_-[$$-409]* #,##0.00_ ;_-[$$-409]* \-#,##0.00\ ;_-[$$-409]* &quot;-&quot;??_ ;_-@_ "/>
    </dxf>
    <dxf>
      <numFmt numFmtId="168" formatCode="_-[$$-409]* #,##0_ ;_-[$$-409]* \-#,##0\ ;_-[$$-409]* &quot;-&quot;??_ ;_-@_ "/>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9"/>
    </tableStyle>
  </tableStyles>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2023.xlsx]pivots!WEEKLY TREND</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8462954183328"/>
          <c:y val="0.14974568098621396"/>
          <c:w val="0.52034117270660585"/>
          <c:h val="0.76220988483990848"/>
        </c:manualLayout>
      </c:layout>
      <c:barChart>
        <c:barDir val="bar"/>
        <c:grouping val="clustered"/>
        <c:varyColors val="0"/>
        <c:ser>
          <c:idx val="0"/>
          <c:order val="0"/>
          <c:tx>
            <c:strRef>
              <c:f>pivots!$F$19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pivots!$E$20:$E$27</c:f>
              <c:strCache>
                <c:ptCount val="7"/>
                <c:pt idx="0">
                  <c:v>Sunday</c:v>
                </c:pt>
                <c:pt idx="1">
                  <c:v>Monday</c:v>
                </c:pt>
                <c:pt idx="2">
                  <c:v>Tuesday</c:v>
                </c:pt>
                <c:pt idx="3">
                  <c:v>Wednesday</c:v>
                </c:pt>
                <c:pt idx="4">
                  <c:v>Thursday</c:v>
                </c:pt>
                <c:pt idx="5">
                  <c:v>Friday</c:v>
                </c:pt>
                <c:pt idx="6">
                  <c:v>Saturday</c:v>
                </c:pt>
              </c:strCache>
            </c:strRef>
          </c:cat>
          <c:val>
            <c:numRef>
              <c:f>pivots!$F$20:$F$27</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E77E-4505-9EBE-44FCC884CFFE}"/>
            </c:ext>
          </c:extLst>
        </c:ser>
        <c:dLbls>
          <c:dLblPos val="outEnd"/>
          <c:showLegendKey val="0"/>
          <c:showVal val="1"/>
          <c:showCatName val="0"/>
          <c:showSerName val="0"/>
          <c:showPercent val="0"/>
          <c:showBubbleSize val="0"/>
        </c:dLbls>
        <c:gapWidth val="25"/>
        <c:axId val="88346704"/>
        <c:axId val="691731376"/>
      </c:barChart>
      <c:catAx>
        <c:axId val="88346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31376"/>
        <c:crosses val="autoZero"/>
        <c:auto val="1"/>
        <c:lblAlgn val="ctr"/>
        <c:lblOffset val="100"/>
        <c:noMultiLvlLbl val="0"/>
      </c:catAx>
      <c:valAx>
        <c:axId val="6917313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4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63260061427079"/>
          <c:y val="0.15510790195374521"/>
          <c:w val="0.74324869616447065"/>
          <c:h val="0.61001441794486921"/>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pivots!$E$38:$E$42</c:f>
              <c:strCache>
                <c:ptCount val="5"/>
                <c:pt idx="0">
                  <c:v>R01</c:v>
                </c:pt>
                <c:pt idx="1">
                  <c:v>R02</c:v>
                </c:pt>
                <c:pt idx="2">
                  <c:v>R03</c:v>
                </c:pt>
                <c:pt idx="3">
                  <c:v>R04</c:v>
                </c:pt>
                <c:pt idx="4">
                  <c:v>R05</c:v>
                </c:pt>
              </c:strCache>
            </c:strRef>
          </c:cat>
          <c:val>
            <c:numRef>
              <c:f>pivots!$F$38:$F$42</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C64-42E1-BE15-CDFFD13ABE4A}"/>
            </c:ext>
          </c:extLst>
        </c:ser>
        <c:ser>
          <c:idx val="1"/>
          <c:order val="1"/>
          <c:tx>
            <c:strRef>
              <c:f>pivots!$H$37</c:f>
              <c:strCache>
                <c:ptCount val="1"/>
                <c:pt idx="0">
                  <c:v>Sel.calls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pivots!$H$38:$H$42</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8C64-42E1-BE15-CDFFD13ABE4A}"/>
            </c:ext>
          </c:extLst>
        </c:ser>
        <c:dLbls>
          <c:dLblPos val="outEnd"/>
          <c:showLegendKey val="0"/>
          <c:showVal val="1"/>
          <c:showCatName val="0"/>
          <c:showSerName val="0"/>
          <c:showPercent val="0"/>
          <c:showBubbleSize val="0"/>
        </c:dLbls>
        <c:gapWidth val="25"/>
        <c:overlap val="100"/>
        <c:axId val="885333248"/>
        <c:axId val="732991952"/>
      </c:barChart>
      <c:catAx>
        <c:axId val="885333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991952"/>
        <c:crosses val="autoZero"/>
        <c:auto val="1"/>
        <c:lblAlgn val="ctr"/>
        <c:lblOffset val="100"/>
        <c:noMultiLvlLbl val="0"/>
      </c:catAx>
      <c:valAx>
        <c:axId val="732991952"/>
        <c:scaling>
          <c:orientation val="minMax"/>
          <c:min val="0"/>
        </c:scaling>
        <c:delete val="1"/>
        <c:axPos val="b"/>
        <c:numFmt formatCode="0" sourceLinked="1"/>
        <c:majorTickMark val="none"/>
        <c:minorTickMark val="none"/>
        <c:tickLblPos val="nextTo"/>
        <c:crossAx val="88533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222209713574995E-2"/>
          <c:y val="0.15770600417350822"/>
          <c:w val="0.83986930164822937"/>
          <c:h val="0.6272403537717078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pivots!$E$38:$E$42</c:f>
              <c:strCache>
                <c:ptCount val="5"/>
                <c:pt idx="0">
                  <c:v>R01</c:v>
                </c:pt>
                <c:pt idx="1">
                  <c:v>R02</c:v>
                </c:pt>
                <c:pt idx="2">
                  <c:v>R03</c:v>
                </c:pt>
                <c:pt idx="3">
                  <c:v>R04</c:v>
                </c:pt>
                <c:pt idx="4">
                  <c:v>R05</c:v>
                </c:pt>
              </c:strCache>
            </c:strRef>
          </c:cat>
          <c:val>
            <c:numRef>
              <c:f>pivots!$G$38:$G$42</c:f>
              <c:numCache>
                <c:formatCode>_-[$$-409]* #,##0_ ;_-[$$-409]* \-#,##0\ ;_-[$$-409]* "-"??_ ;_-@_ </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C33-49CA-B0BA-C895D3D9AA84}"/>
            </c:ext>
          </c:extLst>
        </c:ser>
        <c:ser>
          <c:idx val="1"/>
          <c:order val="1"/>
          <c:tx>
            <c:strRef>
              <c:f>pivots!$I$37</c:f>
              <c:strCache>
                <c:ptCount val="1"/>
                <c:pt idx="0">
                  <c:v>Sel.amount</c:v>
                </c:pt>
              </c:strCache>
            </c:strRef>
          </c:tx>
          <c:spPr>
            <a:solidFill>
              <a:schemeClr val="accent2"/>
            </a:solidFill>
            <a:ln>
              <a:noFill/>
            </a:ln>
            <a:effectLst/>
          </c:spPr>
          <c:invertIfNegative val="0"/>
          <c:val>
            <c:numRef>
              <c:f>pivots!$I$38:$I$42</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3C33-49CA-B0BA-C895D3D9AA84}"/>
            </c:ext>
          </c:extLst>
        </c:ser>
        <c:dLbls>
          <c:showLegendKey val="0"/>
          <c:showVal val="0"/>
          <c:showCatName val="0"/>
          <c:showSerName val="0"/>
          <c:showPercent val="0"/>
          <c:showBubbleSize val="0"/>
        </c:dLbls>
        <c:gapWidth val="25"/>
        <c:overlap val="100"/>
        <c:axId val="97545408"/>
        <c:axId val="952644432"/>
      </c:barChart>
      <c:catAx>
        <c:axId val="97545408"/>
        <c:scaling>
          <c:orientation val="minMax"/>
        </c:scaling>
        <c:delete val="1"/>
        <c:axPos val="l"/>
        <c:numFmt formatCode="General" sourceLinked="1"/>
        <c:majorTickMark val="out"/>
        <c:minorTickMark val="none"/>
        <c:tickLblPos val="nextTo"/>
        <c:crossAx val="952644432"/>
        <c:crosses val="autoZero"/>
        <c:auto val="1"/>
        <c:lblAlgn val="ctr"/>
        <c:lblOffset val="100"/>
        <c:noMultiLvlLbl val="0"/>
      </c:catAx>
      <c:valAx>
        <c:axId val="952644432"/>
        <c:scaling>
          <c:orientation val="minMax"/>
        </c:scaling>
        <c:delete val="1"/>
        <c:axPos val="b"/>
        <c:numFmt formatCode="_-[$$-409]* #,##0_ ;_-[$$-409]* \-#,##0\ ;_-[$$-409]* &quot;-&quot;??_ ;_-@_ " sourceLinked="1"/>
        <c:majorTickMark val="out"/>
        <c:minorTickMark val="none"/>
        <c:tickLblPos val="nextTo"/>
        <c:crossAx val="9754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2023.xlsx]pivots!PivotTable15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503855388008199E-2"/>
          <c:y val="8.7125605366457068E-2"/>
          <c:w val="0.91529151814638199"/>
          <c:h val="0.82041234593839041"/>
        </c:manualLayout>
      </c:layout>
      <c:barChart>
        <c:barDir val="col"/>
        <c:grouping val="percentStacked"/>
        <c:varyColors val="0"/>
        <c:ser>
          <c:idx val="0"/>
          <c:order val="0"/>
          <c:tx>
            <c:strRef>
              <c:f>pivots!$B$66:$B$67</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pivots!$A$68:$A$71</c:f>
              <c:strCache>
                <c:ptCount val="3"/>
                <c:pt idx="0">
                  <c:v>Cincinnati</c:v>
                </c:pt>
                <c:pt idx="1">
                  <c:v>Cleveland</c:v>
                </c:pt>
                <c:pt idx="2">
                  <c:v>Columbus</c:v>
                </c:pt>
              </c:strCache>
            </c:strRef>
          </c:cat>
          <c:val>
            <c:numRef>
              <c:f>pivots!$B$68:$B$71</c:f>
              <c:numCache>
                <c:formatCode>0</c:formatCode>
                <c:ptCount val="3"/>
                <c:pt idx="0">
                  <c:v>144</c:v>
                </c:pt>
                <c:pt idx="1">
                  <c:v>326</c:v>
                </c:pt>
                <c:pt idx="2">
                  <c:v>129</c:v>
                </c:pt>
              </c:numCache>
            </c:numRef>
          </c:val>
          <c:extLst>
            <c:ext xmlns:c16="http://schemas.microsoft.com/office/drawing/2014/chart" uri="{C3380CC4-5D6E-409C-BE32-E72D297353CC}">
              <c16:uniqueId val="{00000000-CBB1-4C9D-89C2-7608089CB333}"/>
            </c:ext>
          </c:extLst>
        </c:ser>
        <c:ser>
          <c:idx val="1"/>
          <c:order val="1"/>
          <c:tx>
            <c:strRef>
              <c:f>pivots!$C$66:$C$67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pivots!$A$68:$A$71</c:f>
              <c:strCache>
                <c:ptCount val="3"/>
                <c:pt idx="0">
                  <c:v>Cincinnati</c:v>
                </c:pt>
                <c:pt idx="1">
                  <c:v>Cleveland</c:v>
                </c:pt>
                <c:pt idx="2">
                  <c:v>Columbus</c:v>
                </c:pt>
              </c:strCache>
            </c:strRef>
          </c:cat>
          <c:val>
            <c:numRef>
              <c:f>pivots!$C$68:$C$71</c:f>
              <c:numCache>
                <c:formatCode>0</c:formatCode>
                <c:ptCount val="3"/>
                <c:pt idx="0">
                  <c:v>132</c:v>
                </c:pt>
                <c:pt idx="1">
                  <c:v>63</c:v>
                </c:pt>
                <c:pt idx="2">
                  <c:v>206</c:v>
                </c:pt>
              </c:numCache>
            </c:numRef>
          </c:val>
          <c:extLst>
            <c:ext xmlns:c16="http://schemas.microsoft.com/office/drawing/2014/chart" uri="{C3380CC4-5D6E-409C-BE32-E72D297353CC}">
              <c16:uniqueId val="{00000002-DEBE-4A43-BB77-29B6D85C8B96}"/>
            </c:ext>
          </c:extLst>
        </c:ser>
        <c:dLbls>
          <c:dLblPos val="ctr"/>
          <c:showLegendKey val="0"/>
          <c:showVal val="1"/>
          <c:showCatName val="0"/>
          <c:showSerName val="0"/>
          <c:showPercent val="0"/>
          <c:showBubbleSize val="0"/>
        </c:dLbls>
        <c:gapWidth val="25"/>
        <c:overlap val="100"/>
        <c:axId val="880388848"/>
        <c:axId val="887618000"/>
      </c:barChart>
      <c:catAx>
        <c:axId val="88038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618000"/>
        <c:crosses val="autoZero"/>
        <c:auto val="1"/>
        <c:lblAlgn val="ctr"/>
        <c:lblOffset val="100"/>
        <c:noMultiLvlLbl val="0"/>
      </c:catAx>
      <c:valAx>
        <c:axId val="887618000"/>
        <c:scaling>
          <c:orientation val="minMax"/>
        </c:scaling>
        <c:delete val="1"/>
        <c:axPos val="l"/>
        <c:numFmt formatCode="0%" sourceLinked="1"/>
        <c:majorTickMark val="none"/>
        <c:minorTickMark val="none"/>
        <c:tickLblPos val="nextTo"/>
        <c:crossAx val="88038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2023.xlsx]pivots!rep satisfaction</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04931083520898"/>
          <c:y val="0.31425707203266257"/>
          <c:w val="0.77992721227882655"/>
          <c:h val="0.54796733741615633"/>
        </c:manualLayout>
      </c:layout>
      <c:barChart>
        <c:barDir val="col"/>
        <c:grouping val="clustered"/>
        <c:varyColors val="0"/>
        <c:ser>
          <c:idx val="0"/>
          <c:order val="0"/>
          <c:tx>
            <c:strRef>
              <c:f>pivots!$C$74</c:f>
              <c:strCache>
                <c:ptCount val="1"/>
                <c:pt idx="0">
                  <c:v>Total</c:v>
                </c:pt>
              </c:strCache>
            </c:strRef>
          </c:tx>
          <c:spPr>
            <a:solidFill>
              <a:schemeClr val="accent1"/>
            </a:solidFill>
            <a:ln>
              <a:noFill/>
            </a:ln>
            <a:effectLst/>
          </c:spPr>
          <c:invertIfNegative val="0"/>
          <c:cat>
            <c:strRef>
              <c:f>pivots!$B$75:$B$81</c:f>
              <c:strCache>
                <c:ptCount val="6"/>
                <c:pt idx="0">
                  <c:v>0</c:v>
                </c:pt>
                <c:pt idx="1">
                  <c:v>1</c:v>
                </c:pt>
                <c:pt idx="2">
                  <c:v>2</c:v>
                </c:pt>
                <c:pt idx="3">
                  <c:v>3</c:v>
                </c:pt>
                <c:pt idx="4">
                  <c:v>4</c:v>
                </c:pt>
                <c:pt idx="5">
                  <c:v>5</c:v>
                </c:pt>
              </c:strCache>
            </c:strRef>
          </c:cat>
          <c:val>
            <c:numRef>
              <c:f>pivots!$C$75:$C$81</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B20F-4263-B624-DF38E6724F5F}"/>
            </c:ext>
          </c:extLst>
        </c:ser>
        <c:dLbls>
          <c:showLegendKey val="0"/>
          <c:showVal val="0"/>
          <c:showCatName val="0"/>
          <c:showSerName val="0"/>
          <c:showPercent val="0"/>
          <c:showBubbleSize val="0"/>
        </c:dLbls>
        <c:gapWidth val="219"/>
        <c:overlap val="-27"/>
        <c:axId val="963016256"/>
        <c:axId val="2081376080"/>
      </c:barChart>
      <c:catAx>
        <c:axId val="9630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76080"/>
        <c:crosses val="autoZero"/>
        <c:auto val="1"/>
        <c:lblAlgn val="ctr"/>
        <c:lblOffset val="100"/>
        <c:noMultiLvlLbl val="0"/>
      </c:catAx>
      <c:valAx>
        <c:axId val="2081376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016256"/>
        <c:crosses val="autoZero"/>
        <c:crossBetween val="between"/>
      </c:valAx>
      <c:spPr>
        <a:noFill/>
        <a:ln>
          <a:noFill/>
        </a:ln>
        <a:effectLst/>
      </c:spPr>
    </c:plotArea>
    <c:legend>
      <c:legendPos val="r"/>
      <c:layout>
        <c:manualLayout>
          <c:xMode val="edge"/>
          <c:yMode val="edge"/>
          <c:x val="0.88442375814355056"/>
          <c:y val="0.76546499070167895"/>
          <c:w val="0.11120636811858947"/>
          <c:h val="0.175916602106513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2023.xlsx]pivots!PivotTable15</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26691102169217201"/>
          <c:y val="0.16782796512950263"/>
          <c:w val="0.35258281898885052"/>
          <c:h val="0.67755359764563827"/>
        </c:manualLayout>
      </c:layout>
      <c:pieChart>
        <c:varyColors val="1"/>
        <c:ser>
          <c:idx val="0"/>
          <c:order val="0"/>
          <c:tx>
            <c:strRef>
              <c:f>pivots!$B$66:$B$67</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C389-4FD8-8759-65BB89E3F4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C389-4FD8-8759-65BB89E3F4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C389-4FD8-8759-65BB89E3F4C3}"/>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89-4FD8-8759-65BB89E3F4C3}"/>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89-4FD8-8759-65BB89E3F4C3}"/>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89-4FD8-8759-65BB89E3F4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pivots!$A$68:$A$71</c:f>
              <c:strCache>
                <c:ptCount val="3"/>
                <c:pt idx="0">
                  <c:v>Cincinnati</c:v>
                </c:pt>
                <c:pt idx="1">
                  <c:v>Cleveland</c:v>
                </c:pt>
                <c:pt idx="2">
                  <c:v>Columbus</c:v>
                </c:pt>
              </c:strCache>
            </c:strRef>
          </c:cat>
          <c:val>
            <c:numRef>
              <c:f>pivots!$B$68:$B$71</c:f>
              <c:numCache>
                <c:formatCode>0</c:formatCode>
                <c:ptCount val="3"/>
                <c:pt idx="0">
                  <c:v>144</c:v>
                </c:pt>
                <c:pt idx="1">
                  <c:v>326</c:v>
                </c:pt>
                <c:pt idx="2">
                  <c:v>129</c:v>
                </c:pt>
              </c:numCache>
            </c:numRef>
          </c:val>
          <c:extLst>
            <c:ext xmlns:c16="http://schemas.microsoft.com/office/drawing/2014/chart" uri="{C3380CC4-5D6E-409C-BE32-E72D297353CC}">
              <c16:uniqueId val="{00000000-C389-4FD8-8759-65BB89E3F4C3}"/>
            </c:ext>
          </c:extLst>
        </c:ser>
        <c:ser>
          <c:idx val="1"/>
          <c:order val="1"/>
          <c:tx>
            <c:strRef>
              <c:f>pivots!$C$66:$C$67</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1EBA-43F4-B95B-C8971DD48B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1EBA-43F4-B95B-C8971DD48B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1EBA-43F4-B95B-C8971DD48B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pivots!$A$68:$A$71</c:f>
              <c:strCache>
                <c:ptCount val="3"/>
                <c:pt idx="0">
                  <c:v>Cincinnati</c:v>
                </c:pt>
                <c:pt idx="1">
                  <c:v>Cleveland</c:v>
                </c:pt>
                <c:pt idx="2">
                  <c:v>Columbus</c:v>
                </c:pt>
              </c:strCache>
            </c:strRef>
          </c:cat>
          <c:val>
            <c:numRef>
              <c:f>pivots!$C$68:$C$71</c:f>
              <c:numCache>
                <c:formatCode>0</c:formatCode>
                <c:ptCount val="3"/>
                <c:pt idx="0">
                  <c:v>132</c:v>
                </c:pt>
                <c:pt idx="1">
                  <c:v>63</c:v>
                </c:pt>
                <c:pt idx="2">
                  <c:v>206</c:v>
                </c:pt>
              </c:numCache>
            </c:numRef>
          </c:val>
          <c:extLst>
            <c:ext xmlns:c16="http://schemas.microsoft.com/office/drawing/2014/chart" uri="{C3380CC4-5D6E-409C-BE32-E72D297353CC}">
              <c16:uniqueId val="{00000007-C389-4FD8-8759-65BB89E3F4C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2023.xlsx]pivots!WEEKLY TREND</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pivots!$F$19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70-44F1-BF35-8F63BC0449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70-44F1-BF35-8F63BC0449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70-44F1-BF35-8F63BC0449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70-44F1-BF35-8F63BC0449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70-44F1-BF35-8F63BC0449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70-44F1-BF35-8F63BC0449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1-0876-42F9-8D43-FF3F8C9DA7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pivots!$E$20:$E$27</c:f>
              <c:strCache>
                <c:ptCount val="7"/>
                <c:pt idx="0">
                  <c:v>Sunday</c:v>
                </c:pt>
                <c:pt idx="1">
                  <c:v>Monday</c:v>
                </c:pt>
                <c:pt idx="2">
                  <c:v>Tuesday</c:v>
                </c:pt>
                <c:pt idx="3">
                  <c:v>Wednesday</c:v>
                </c:pt>
                <c:pt idx="4">
                  <c:v>Thursday</c:v>
                </c:pt>
                <c:pt idx="5">
                  <c:v>Friday</c:v>
                </c:pt>
                <c:pt idx="6">
                  <c:v>Saturday</c:v>
                </c:pt>
              </c:strCache>
            </c:strRef>
          </c:cat>
          <c:val>
            <c:numRef>
              <c:f>pivots!$F$20:$F$27</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0876-42F9-8D43-FF3F8C9DA74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2023.xlsx]pivots!PivotTable1</c:name>
    <c:fmtId val="1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accent1"/>
                </a:solidFill>
              </a:rPr>
              <a:t>Monthly</a:t>
            </a:r>
            <a:r>
              <a:rPr lang="en-IN" baseline="0">
                <a:solidFill>
                  <a:schemeClr val="accent1"/>
                </a:solidFill>
              </a:rPr>
              <a:t> trend</a:t>
            </a:r>
            <a:endParaRPr lang="en-IN">
              <a:solidFill>
                <a:schemeClr val="accent1"/>
              </a:solidFill>
            </a:endParaRPr>
          </a:p>
        </c:rich>
      </c:tx>
      <c:layout>
        <c:manualLayout>
          <c:xMode val="edge"/>
          <c:yMode val="edge"/>
          <c:x val="2.4424020474706726E-2"/>
          <c:y val="2.9787232379112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21330074365704288"/>
          <c:y val="0.1774919801691455"/>
          <c:w val="0.46784295713035873"/>
          <c:h val="0.77973826188393114"/>
        </c:manualLayout>
      </c:layout>
      <c:pieChart>
        <c:varyColors val="1"/>
        <c:ser>
          <c:idx val="0"/>
          <c:order val="0"/>
          <c:tx>
            <c:strRef>
              <c:f>pivots!$B$108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78-4C1B-AA8A-757AAF546D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78-4C1B-AA8A-757AAF546D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78-4C1B-AA8A-757AAF546DD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78-4C1B-AA8A-757AAF546DD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78-4C1B-AA8A-757AAF546DD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78-4C1B-AA8A-757AAF546DD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F78-4C1B-AA8A-757AAF546DD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F78-4C1B-AA8A-757AAF546DD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F78-4C1B-AA8A-757AAF546DD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F78-4C1B-AA8A-757AAF546DD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F78-4C1B-AA8A-757AAF546DD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F78-4C1B-AA8A-757AAF546DDB}"/>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pivots!$A$109:$A$121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pivots!$B$109:$B$121</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1301-4ACA-9C04-28D749309A2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2023.xlsx]pivots!MONTHLY TREND</c:name>
    <c:fmtId val="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IN">
                <a:solidFill>
                  <a:schemeClr val="accent1"/>
                </a:solidFill>
              </a:rPr>
              <a:t>Call</a:t>
            </a:r>
            <a:r>
              <a:rPr lang="en-IN" baseline="0">
                <a:solidFill>
                  <a:schemeClr val="accent1"/>
                </a:solidFill>
              </a:rPr>
              <a:t> trend</a:t>
            </a:r>
            <a:endParaRPr lang="en-IN">
              <a:solidFill>
                <a:schemeClr val="accent1"/>
              </a:solidFill>
            </a:endParaRPr>
          </a:p>
        </c:rich>
      </c:tx>
      <c:layout>
        <c:manualLayout>
          <c:xMode val="edge"/>
          <c:yMode val="edge"/>
          <c:x val="9.861241943427454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gradFill>
            <a:gsLst>
              <a:gs pos="0">
                <a:schemeClr val="bg2">
                  <a:lumMod val="75000"/>
                  <a:alpha val="98000"/>
                </a:schemeClr>
              </a:gs>
              <a:gs pos="100000">
                <a:schemeClr val="tx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noFill/>
            <a:ln w="25400">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noFill/>
            <a:ln w="25400">
              <a:solidFill>
                <a:schemeClr val="bg1"/>
              </a:solidFill>
            </a:ln>
            <a:effectLst/>
          </c:spPr>
        </c:marker>
      </c:pivotFmt>
      <c:pivotFmt>
        <c:idx val="7"/>
        <c:spPr>
          <a:ln w="28575" cap="rnd">
            <a:solidFill>
              <a:schemeClr val="accent1"/>
            </a:solidFill>
            <a:round/>
          </a:ln>
          <a:effectLst/>
        </c:spPr>
        <c:marker>
          <c:symbol val="circle"/>
          <c:size val="5"/>
          <c:spPr>
            <a:noFill/>
            <a:ln w="25400">
              <a:solidFill>
                <a:schemeClr val="bg1"/>
              </a:solidFill>
            </a:ln>
            <a:effectLst/>
          </c:spPr>
        </c:marker>
      </c:pivotFmt>
      <c:pivotFmt>
        <c:idx val="8"/>
        <c:spPr>
          <a:ln w="28575" cap="rnd">
            <a:solidFill>
              <a:schemeClr val="accent1"/>
            </a:solidFill>
            <a:round/>
          </a:ln>
          <a:effectLst/>
        </c:spPr>
        <c:marker>
          <c:symbol val="circle"/>
          <c:size val="5"/>
          <c:spPr>
            <a:noFill/>
            <a:ln w="25400">
              <a:solidFill>
                <a:schemeClr val="bg1"/>
              </a:solidFill>
            </a:ln>
            <a:effectLst/>
          </c:spPr>
        </c:marker>
      </c:pivotFmt>
      <c:pivotFmt>
        <c:idx val="9"/>
        <c:spPr>
          <a:ln w="28575" cap="rnd">
            <a:solidFill>
              <a:schemeClr val="accent1"/>
            </a:solidFill>
            <a:round/>
          </a:ln>
          <a:effectLst/>
        </c:spPr>
        <c:marker>
          <c:symbol val="circle"/>
          <c:size val="5"/>
          <c:spPr>
            <a:noFill/>
            <a:ln w="25400">
              <a:solidFill>
                <a:schemeClr val="bg1"/>
              </a:solidFill>
            </a:ln>
            <a:effectLst/>
          </c:spPr>
        </c:marker>
      </c:pivotFmt>
    </c:pivotFmts>
    <c:plotArea>
      <c:layout>
        <c:manualLayout>
          <c:layoutTarget val="inner"/>
          <c:xMode val="edge"/>
          <c:yMode val="edge"/>
          <c:x val="0.10270587665711203"/>
          <c:y val="0.14081621404477673"/>
          <c:w val="0.83615924060748059"/>
          <c:h val="0.67735923915229412"/>
        </c:manualLayout>
      </c:layout>
      <c:areaChart>
        <c:grouping val="standard"/>
        <c:varyColors val="0"/>
        <c:ser>
          <c:idx val="1"/>
          <c:order val="1"/>
          <c:tx>
            <c:strRef>
              <c:f>pivots!$C$19</c:f>
              <c:strCache>
                <c:ptCount val="1"/>
                <c:pt idx="0">
                  <c:v>call count2</c:v>
                </c:pt>
              </c:strCache>
            </c:strRef>
          </c:tx>
          <c:spPr>
            <a:gradFill>
              <a:gsLst>
                <a:gs pos="0">
                  <a:schemeClr val="bg2">
                    <a:lumMod val="75000"/>
                    <a:alpha val="98000"/>
                  </a:schemeClr>
                </a:gs>
                <a:gs pos="100000">
                  <a:schemeClr val="tx2"/>
                </a:gs>
              </a:gsLst>
              <a:lin ang="5400000" scaled="1"/>
            </a:gradFill>
            <a:ln>
              <a:noFill/>
            </a:ln>
            <a:effectLst/>
          </c:spP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pivots!$C$20:$C$32</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5A3F-4E16-BB37-8CBE1AB4CEA6}"/>
            </c:ext>
          </c:extLst>
        </c:ser>
        <c:dLbls>
          <c:showLegendKey val="0"/>
          <c:showVal val="0"/>
          <c:showCatName val="0"/>
          <c:showSerName val="0"/>
          <c:showPercent val="0"/>
          <c:showBubbleSize val="0"/>
        </c:dLbls>
        <c:axId val="99449488"/>
        <c:axId val="731162784"/>
      </c:areaChart>
      <c:lineChart>
        <c:grouping val="standard"/>
        <c:varyColors val="0"/>
        <c:ser>
          <c:idx val="0"/>
          <c:order val="0"/>
          <c:tx>
            <c:strRef>
              <c:f>pivots!$B$19</c:f>
              <c:strCache>
                <c:ptCount val="1"/>
                <c:pt idx="0">
                  <c:v>call count</c:v>
                </c:pt>
              </c:strCache>
            </c:strRef>
          </c:tx>
          <c:spPr>
            <a:ln w="28575" cap="rnd">
              <a:solidFill>
                <a:schemeClr val="accent1"/>
              </a:solidFill>
              <a:round/>
            </a:ln>
            <a:effectLst/>
          </c:spPr>
          <c:marker>
            <c:symbol val="circle"/>
            <c:size val="5"/>
            <c:spPr>
              <a:noFill/>
              <a:ln w="25400">
                <a:solidFill>
                  <a:schemeClr val="bg1"/>
                </a:solidFill>
              </a:ln>
              <a:effectLst/>
            </c:spPr>
          </c:marke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pivots!$B$20:$B$32</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5A3F-4E16-BB37-8CBE1AB4CEA6}"/>
            </c:ext>
          </c:extLst>
        </c:ser>
        <c:dLbls>
          <c:showLegendKey val="0"/>
          <c:showVal val="0"/>
          <c:showCatName val="0"/>
          <c:showSerName val="0"/>
          <c:showPercent val="0"/>
          <c:showBubbleSize val="0"/>
        </c:dLbls>
        <c:marker val="1"/>
        <c:smooth val="0"/>
        <c:axId val="99449488"/>
        <c:axId val="731162784"/>
      </c:lineChart>
      <c:catAx>
        <c:axId val="99449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62784"/>
        <c:crosses val="autoZero"/>
        <c:auto val="1"/>
        <c:lblAlgn val="ctr"/>
        <c:lblOffset val="100"/>
        <c:noMultiLvlLbl val="0"/>
      </c:catAx>
      <c:valAx>
        <c:axId val="731162784"/>
        <c:scaling>
          <c:orientation val="minMax"/>
        </c:scaling>
        <c:delete val="0"/>
        <c:axPos val="l"/>
        <c:majorGridlines>
          <c:spPr>
            <a:ln w="9525" cap="flat" cmpd="dbl" algn="ctr">
              <a:solidFill>
                <a:schemeClr val="tx1">
                  <a:lumMod val="15000"/>
                  <a:lumOff val="85000"/>
                </a:schemeClr>
              </a:solidFill>
              <a:prstDash val="sysDot"/>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49488"/>
        <c:crosses val="autoZero"/>
        <c:crossBetween val="between"/>
      </c:valAx>
      <c:spPr>
        <a:noFill/>
        <a:ln>
          <a:solidFill>
            <a:schemeClr val="accent1">
              <a:alpha val="49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4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2023.xlsx]pivots!WEEKLY TREND</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554350468310809"/>
          <c:y val="0.12264736499992669"/>
          <c:w val="0.57418717188200752"/>
          <c:h val="0.82576149543644206"/>
        </c:manualLayout>
      </c:layout>
      <c:barChart>
        <c:barDir val="bar"/>
        <c:grouping val="clustered"/>
        <c:varyColors val="0"/>
        <c:ser>
          <c:idx val="0"/>
          <c:order val="0"/>
          <c:tx>
            <c:strRef>
              <c:f>pivots!$F$19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pivots!$E$20:$E$27</c:f>
              <c:strCache>
                <c:ptCount val="7"/>
                <c:pt idx="0">
                  <c:v>Sunday</c:v>
                </c:pt>
                <c:pt idx="1">
                  <c:v>Monday</c:v>
                </c:pt>
                <c:pt idx="2">
                  <c:v>Tuesday</c:v>
                </c:pt>
                <c:pt idx="3">
                  <c:v>Wednesday</c:v>
                </c:pt>
                <c:pt idx="4">
                  <c:v>Thursday</c:v>
                </c:pt>
                <c:pt idx="5">
                  <c:v>Friday</c:v>
                </c:pt>
                <c:pt idx="6">
                  <c:v>Saturday</c:v>
                </c:pt>
              </c:strCache>
            </c:strRef>
          </c:cat>
          <c:val>
            <c:numRef>
              <c:f>pivots!$F$20:$F$27</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6991-4414-A532-FAD6D2A97224}"/>
            </c:ext>
          </c:extLst>
        </c:ser>
        <c:dLbls>
          <c:dLblPos val="outEnd"/>
          <c:showLegendKey val="0"/>
          <c:showVal val="1"/>
          <c:showCatName val="0"/>
          <c:showSerName val="0"/>
          <c:showPercent val="0"/>
          <c:showBubbleSize val="0"/>
        </c:dLbls>
        <c:gapWidth val="25"/>
        <c:axId val="88346704"/>
        <c:axId val="691731376"/>
      </c:barChart>
      <c:catAx>
        <c:axId val="88346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31376"/>
        <c:crosses val="autoZero"/>
        <c:auto val="1"/>
        <c:lblAlgn val="ctr"/>
        <c:lblOffset val="100"/>
        <c:noMultiLvlLbl val="0"/>
      </c:catAx>
      <c:valAx>
        <c:axId val="691731376"/>
        <c:scaling>
          <c:orientation val="minMax"/>
        </c:scaling>
        <c:delete val="1"/>
        <c:axPos val="b"/>
        <c:numFmt formatCode="0" sourceLinked="1"/>
        <c:majorTickMark val="out"/>
        <c:minorTickMark val="none"/>
        <c:tickLblPos val="nextTo"/>
        <c:crossAx val="8834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solidFill>
              </a:rPr>
              <a:t>Male</a:t>
            </a:r>
            <a:r>
              <a:rPr lang="en-IN" baseline="0"/>
              <a:t> vs </a:t>
            </a:r>
            <a:r>
              <a:rPr lang="en-IN" baseline="0">
                <a:solidFill>
                  <a:schemeClr val="accent1"/>
                </a:solidFill>
              </a:rPr>
              <a:t>Female</a:t>
            </a:r>
            <a:r>
              <a:rPr lang="en-IN" baseline="0"/>
              <a:t> Callers</a:t>
            </a:r>
            <a:endParaRPr lang="en-IN"/>
          </a:p>
        </c:rich>
      </c:tx>
      <c:layout>
        <c:manualLayout>
          <c:xMode val="edge"/>
          <c:yMode val="edge"/>
          <c:x val="5.6118797298178459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10735943355335E-2"/>
          <c:y val="0.15069458182316203"/>
          <c:w val="0.84333730960865017"/>
          <c:h val="0.72977370032770983"/>
        </c:manualLayout>
      </c:layout>
      <c:barChart>
        <c:barDir val="col"/>
        <c:grouping val="percentStacked"/>
        <c:varyColors val="0"/>
        <c:ser>
          <c:idx val="0"/>
          <c:order val="0"/>
          <c:tx>
            <c:strRef>
              <c:f>pivots!$B$66:$B$67</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pivots!$A$68:$A$71</c:f>
              <c:strCache>
                <c:ptCount val="3"/>
                <c:pt idx="0">
                  <c:v>Cincinnati</c:v>
                </c:pt>
                <c:pt idx="1">
                  <c:v>Cleveland</c:v>
                </c:pt>
                <c:pt idx="2">
                  <c:v>Columbus</c:v>
                </c:pt>
              </c:strCache>
            </c:strRef>
          </c:cat>
          <c:val>
            <c:numRef>
              <c:f>pivots!$B$68:$B$71</c:f>
              <c:numCache>
                <c:formatCode>0</c:formatCode>
                <c:ptCount val="3"/>
                <c:pt idx="0">
                  <c:v>144</c:v>
                </c:pt>
                <c:pt idx="1">
                  <c:v>326</c:v>
                </c:pt>
                <c:pt idx="2">
                  <c:v>129</c:v>
                </c:pt>
              </c:numCache>
            </c:numRef>
          </c:val>
          <c:extLst>
            <c:ext xmlns:c16="http://schemas.microsoft.com/office/drawing/2014/chart" uri="{C3380CC4-5D6E-409C-BE32-E72D297353CC}">
              <c16:uniqueId val="{00000000-F478-449E-83E6-B811A33C14BF}"/>
            </c:ext>
          </c:extLst>
        </c:ser>
        <c:ser>
          <c:idx val="1"/>
          <c:order val="1"/>
          <c:tx>
            <c:strRef>
              <c:f>pivots!$C$66:$C$67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pivots!$A$68:$A$71</c:f>
              <c:strCache>
                <c:ptCount val="3"/>
                <c:pt idx="0">
                  <c:v>Cincinnati</c:v>
                </c:pt>
                <c:pt idx="1">
                  <c:v>Cleveland</c:v>
                </c:pt>
                <c:pt idx="2">
                  <c:v>Columbus</c:v>
                </c:pt>
              </c:strCache>
            </c:strRef>
          </c:cat>
          <c:val>
            <c:numRef>
              <c:f>pivots!$C$68:$C$71</c:f>
              <c:numCache>
                <c:formatCode>0</c:formatCode>
                <c:ptCount val="3"/>
                <c:pt idx="0">
                  <c:v>132</c:v>
                </c:pt>
                <c:pt idx="1">
                  <c:v>63</c:v>
                </c:pt>
                <c:pt idx="2">
                  <c:v>206</c:v>
                </c:pt>
              </c:numCache>
            </c:numRef>
          </c:val>
          <c:extLst>
            <c:ext xmlns:c16="http://schemas.microsoft.com/office/drawing/2014/chart" uri="{C3380CC4-5D6E-409C-BE32-E72D297353CC}">
              <c16:uniqueId val="{00000002-EDCC-4AF2-A15F-EA1BDE6A78CD}"/>
            </c:ext>
          </c:extLst>
        </c:ser>
        <c:dLbls>
          <c:dLblPos val="ctr"/>
          <c:showLegendKey val="0"/>
          <c:showVal val="1"/>
          <c:showCatName val="0"/>
          <c:showSerName val="0"/>
          <c:showPercent val="0"/>
          <c:showBubbleSize val="0"/>
        </c:dLbls>
        <c:gapWidth val="25"/>
        <c:overlap val="100"/>
        <c:axId val="880388848"/>
        <c:axId val="887618000"/>
      </c:barChart>
      <c:catAx>
        <c:axId val="88038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618000"/>
        <c:crosses val="autoZero"/>
        <c:auto val="1"/>
        <c:lblAlgn val="ctr"/>
        <c:lblOffset val="100"/>
        <c:noMultiLvlLbl val="0"/>
      </c:catAx>
      <c:valAx>
        <c:axId val="887618000"/>
        <c:scaling>
          <c:orientation val="minMax"/>
        </c:scaling>
        <c:delete val="1"/>
        <c:axPos val="l"/>
        <c:numFmt formatCode="0%" sourceLinked="1"/>
        <c:majorTickMark val="none"/>
        <c:minorTickMark val="none"/>
        <c:tickLblPos val="nextTo"/>
        <c:crossAx val="88038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2023.xlsx]pivots!rep satisfaction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1"/>
                </a:solidFill>
              </a:rPr>
              <a:t>Rating</a:t>
            </a:r>
          </a:p>
        </c:rich>
      </c:tx>
      <c:layout>
        <c:manualLayout>
          <c:xMode val="edge"/>
          <c:yMode val="edge"/>
          <c:x val="6.4801145569918256E-2"/>
          <c:y val="1.8181826858423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8501457089141"/>
          <c:y val="0.22289922291542008"/>
          <c:w val="0.78189950159061827"/>
          <c:h val="0.65161946675697158"/>
        </c:manualLayout>
      </c:layout>
      <c:barChart>
        <c:barDir val="col"/>
        <c:grouping val="clustered"/>
        <c:varyColors val="0"/>
        <c:ser>
          <c:idx val="0"/>
          <c:order val="0"/>
          <c:tx>
            <c:strRef>
              <c:f>pivots!$C$74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pivots!$B$75:$B$81</c:f>
              <c:strCache>
                <c:ptCount val="6"/>
                <c:pt idx="0">
                  <c:v>0</c:v>
                </c:pt>
                <c:pt idx="1">
                  <c:v>1</c:v>
                </c:pt>
                <c:pt idx="2">
                  <c:v>2</c:v>
                </c:pt>
                <c:pt idx="3">
                  <c:v>3</c:v>
                </c:pt>
                <c:pt idx="4">
                  <c:v>4</c:v>
                </c:pt>
                <c:pt idx="5">
                  <c:v>5</c:v>
                </c:pt>
              </c:strCache>
            </c:strRef>
          </c:cat>
          <c:val>
            <c:numRef>
              <c:f>pivots!$C$75:$C$81</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7023-4915-80A0-761E1454888F}"/>
            </c:ext>
          </c:extLst>
        </c:ser>
        <c:dLbls>
          <c:showLegendKey val="0"/>
          <c:showVal val="0"/>
          <c:showCatName val="0"/>
          <c:showSerName val="0"/>
          <c:showPercent val="0"/>
          <c:showBubbleSize val="0"/>
        </c:dLbls>
        <c:gapWidth val="10"/>
        <c:overlap val="-27"/>
        <c:axId val="963016256"/>
        <c:axId val="2081376080"/>
      </c:barChart>
      <c:catAx>
        <c:axId val="9630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376080"/>
        <c:crosses val="autoZero"/>
        <c:auto val="1"/>
        <c:lblAlgn val="ctr"/>
        <c:lblOffset val="100"/>
        <c:noMultiLvlLbl val="0"/>
      </c:catAx>
      <c:valAx>
        <c:axId val="2081376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301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IN">
                <a:solidFill>
                  <a:schemeClr val="accent1"/>
                </a:solidFill>
              </a:rPr>
              <a:t>CALLS</a:t>
            </a:r>
          </a:p>
        </c:rich>
      </c:tx>
      <c:layout>
        <c:manualLayout>
          <c:xMode val="edge"/>
          <c:yMode val="edge"/>
          <c:x val="6.8334730183122597E-2"/>
          <c:y val="2.09059118736251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lotArea>
      <c:layout>
        <c:manualLayout>
          <c:layoutTarget val="inner"/>
          <c:xMode val="edge"/>
          <c:yMode val="edge"/>
          <c:x val="0.19647292569711952"/>
          <c:y val="0.14117087372993839"/>
          <c:w val="0.74324869616447065"/>
          <c:h val="0.61001441794486921"/>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pivots!$E$38:$E$42</c:f>
              <c:strCache>
                <c:ptCount val="5"/>
                <c:pt idx="0">
                  <c:v>R01</c:v>
                </c:pt>
                <c:pt idx="1">
                  <c:v>R02</c:v>
                </c:pt>
                <c:pt idx="2">
                  <c:v>R03</c:v>
                </c:pt>
                <c:pt idx="3">
                  <c:v>R04</c:v>
                </c:pt>
                <c:pt idx="4">
                  <c:v>R05</c:v>
                </c:pt>
              </c:strCache>
            </c:strRef>
          </c:cat>
          <c:val>
            <c:numRef>
              <c:f>pivots!$F$38:$F$42</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E79-4946-951C-84933F0BC94D}"/>
            </c:ext>
          </c:extLst>
        </c:ser>
        <c:ser>
          <c:idx val="1"/>
          <c:order val="1"/>
          <c:tx>
            <c:strRef>
              <c:f>pivots!$H$37</c:f>
              <c:strCache>
                <c:ptCount val="1"/>
                <c:pt idx="0">
                  <c:v>Sel.calls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pivots!$H$38:$H$42</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8E79-4946-951C-84933F0BC94D}"/>
            </c:ext>
          </c:extLst>
        </c:ser>
        <c:dLbls>
          <c:dLblPos val="outEnd"/>
          <c:showLegendKey val="0"/>
          <c:showVal val="1"/>
          <c:showCatName val="0"/>
          <c:showSerName val="0"/>
          <c:showPercent val="0"/>
          <c:showBubbleSize val="0"/>
        </c:dLbls>
        <c:gapWidth val="25"/>
        <c:overlap val="100"/>
        <c:axId val="885333248"/>
        <c:axId val="732991952"/>
      </c:barChart>
      <c:catAx>
        <c:axId val="885333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991952"/>
        <c:crosses val="autoZero"/>
        <c:auto val="1"/>
        <c:lblAlgn val="ctr"/>
        <c:lblOffset val="100"/>
        <c:noMultiLvlLbl val="0"/>
      </c:catAx>
      <c:valAx>
        <c:axId val="732991952"/>
        <c:scaling>
          <c:orientation val="minMax"/>
          <c:min val="0"/>
        </c:scaling>
        <c:delete val="1"/>
        <c:axPos val="b"/>
        <c:numFmt formatCode="0" sourceLinked="1"/>
        <c:majorTickMark val="none"/>
        <c:minorTickMark val="none"/>
        <c:tickLblPos val="nextTo"/>
        <c:crossAx val="88533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IN">
                <a:solidFill>
                  <a:schemeClr val="accent1"/>
                </a:solidFill>
              </a:rPr>
              <a:t>AMOUNT</a:t>
            </a:r>
          </a:p>
        </c:rich>
      </c:tx>
      <c:layout>
        <c:manualLayout>
          <c:xMode val="edge"/>
          <c:yMode val="edge"/>
          <c:x val="3.7037892430140835E-2"/>
          <c:y val="1.41915773547123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lotArea>
      <c:layout>
        <c:manualLayout>
          <c:layoutTarget val="inner"/>
          <c:xMode val="edge"/>
          <c:yMode val="edge"/>
          <c:x val="9.7222209713574995E-2"/>
          <c:y val="0.15770600417350822"/>
          <c:w val="0.83986930164822937"/>
          <c:h val="0.6272403537717078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pivots!$E$38:$E$42</c:f>
              <c:strCache>
                <c:ptCount val="5"/>
                <c:pt idx="0">
                  <c:v>R01</c:v>
                </c:pt>
                <c:pt idx="1">
                  <c:v>R02</c:v>
                </c:pt>
                <c:pt idx="2">
                  <c:v>R03</c:v>
                </c:pt>
                <c:pt idx="3">
                  <c:v>R04</c:v>
                </c:pt>
                <c:pt idx="4">
                  <c:v>R05</c:v>
                </c:pt>
              </c:strCache>
            </c:strRef>
          </c:cat>
          <c:val>
            <c:numRef>
              <c:f>pivots!$G$38:$G$42</c:f>
              <c:numCache>
                <c:formatCode>_-[$$-409]* #,##0_ ;_-[$$-409]* \-#,##0\ ;_-[$$-409]* "-"??_ ;_-@_ </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098-4CDF-8941-FCAD9DA6C0AA}"/>
            </c:ext>
          </c:extLst>
        </c:ser>
        <c:ser>
          <c:idx val="1"/>
          <c:order val="1"/>
          <c:tx>
            <c:strRef>
              <c:f>pivots!$I$37</c:f>
              <c:strCache>
                <c:ptCount val="1"/>
                <c:pt idx="0">
                  <c:v>Sel.amount</c:v>
                </c:pt>
              </c:strCache>
            </c:strRef>
          </c:tx>
          <c:spPr>
            <a:solidFill>
              <a:schemeClr val="accent2"/>
            </a:solidFill>
            <a:ln>
              <a:noFill/>
            </a:ln>
            <a:effectLst/>
          </c:spPr>
          <c:invertIfNegative val="0"/>
          <c:val>
            <c:numRef>
              <c:f>pivots!$I$38:$I$42</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3098-4CDF-8941-FCAD9DA6C0AA}"/>
            </c:ext>
          </c:extLst>
        </c:ser>
        <c:dLbls>
          <c:showLegendKey val="0"/>
          <c:showVal val="0"/>
          <c:showCatName val="0"/>
          <c:showSerName val="0"/>
          <c:showPercent val="0"/>
          <c:showBubbleSize val="0"/>
        </c:dLbls>
        <c:gapWidth val="25"/>
        <c:overlap val="100"/>
        <c:axId val="97545408"/>
        <c:axId val="952644432"/>
      </c:barChart>
      <c:catAx>
        <c:axId val="97545408"/>
        <c:scaling>
          <c:orientation val="minMax"/>
        </c:scaling>
        <c:delete val="1"/>
        <c:axPos val="l"/>
        <c:numFmt formatCode="General" sourceLinked="1"/>
        <c:majorTickMark val="out"/>
        <c:minorTickMark val="none"/>
        <c:tickLblPos val="nextTo"/>
        <c:crossAx val="952644432"/>
        <c:crosses val="autoZero"/>
        <c:auto val="1"/>
        <c:lblAlgn val="ctr"/>
        <c:lblOffset val="100"/>
        <c:noMultiLvlLbl val="0"/>
      </c:catAx>
      <c:valAx>
        <c:axId val="952644432"/>
        <c:scaling>
          <c:orientation val="minMax"/>
        </c:scaling>
        <c:delete val="1"/>
        <c:axPos val="b"/>
        <c:numFmt formatCode="_-[$$-409]* #,##0_ ;_-[$$-409]* \-#,##0\ ;_-[$$-409]* &quot;-&quot;??_ ;_-@_ " sourceLinked="1"/>
        <c:majorTickMark val="out"/>
        <c:minorTickMark val="none"/>
        <c:tickLblPos val="nextTo"/>
        <c:crossAx val="9754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[EXCEL-PROJECT-CALL CENTRE REPORT 2023.xlsx]pivots!PivotTable1</c:name>
    <c:fmtId val="1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accent1"/>
                </a:solidFill>
              </a:rPr>
              <a:t>Monthly</a:t>
            </a:r>
            <a:r>
              <a:rPr lang="en-IN" baseline="0">
                <a:solidFill>
                  <a:schemeClr val="accent1"/>
                </a:solidFill>
              </a:rPr>
              <a:t> trend</a:t>
            </a:r>
            <a:endParaRPr lang="en-IN">
              <a:solidFill>
                <a:schemeClr val="accent1"/>
              </a:solidFill>
            </a:endParaRPr>
          </a:p>
        </c:rich>
      </c:tx>
      <c:layout>
        <c:manualLayout>
          <c:xMode val="edge"/>
          <c:yMode val="edge"/>
          <c:x val="2.4424020474706726E-2"/>
          <c:y val="2.97872323791125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21330074365704288"/>
          <c:y val="0.1774919801691455"/>
          <c:w val="0.46784295713035873"/>
          <c:h val="0.77973826188393114"/>
        </c:manualLayout>
      </c:layout>
      <c:pieChart>
        <c:varyColors val="1"/>
        <c:ser>
          <c:idx val="0"/>
          <c:order val="0"/>
          <c:tx>
            <c:strRef>
              <c:f>pivots!$B$108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F9-4157-85A1-7F40ED64C9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F9-4157-85A1-7F40ED64C9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F9-4157-85A1-7F40ED64C9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F9-4157-85A1-7F40ED64C9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F9-4157-85A1-7F40ED64C9F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F9-4157-85A1-7F40ED64C9F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3F9-4157-85A1-7F40ED64C9F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3F9-4157-85A1-7F40ED64C9F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3F9-4157-85A1-7F40ED64C9F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3F9-4157-85A1-7F40ED64C9F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3F9-4157-85A1-7F40ED64C9F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3F9-4157-85A1-7F40ED64C9FD}"/>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pivots!$A$109:$A$121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pivots!$B$109:$B$121</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18-43F9-4157-85A1-7F40ED64C9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1.png"/><Relationship Id="rId3" Type="http://schemas.openxmlformats.org/officeDocument/2006/relationships/image" Target="../media/image5.png"/><Relationship Id="rId7" Type="http://schemas.openxmlformats.org/officeDocument/2006/relationships/chart" Target="../charts/chart9.xml"/><Relationship Id="rId12" Type="http://schemas.openxmlformats.org/officeDocument/2006/relationships/image" Target="../media/image12.svg"/><Relationship Id="rId17" Type="http://schemas.openxmlformats.org/officeDocument/2006/relationships/chart" Target="../charts/chart15.xml"/><Relationship Id="rId2" Type="http://schemas.openxmlformats.org/officeDocument/2006/relationships/image" Target="../media/image14.svg"/><Relationship Id="rId16" Type="http://schemas.openxmlformats.org/officeDocument/2006/relationships/chart" Target="../charts/chart14.xml"/><Relationship Id="rId1" Type="http://schemas.openxmlformats.org/officeDocument/2006/relationships/image" Target="../media/image13.png"/><Relationship Id="rId6" Type="http://schemas.openxmlformats.org/officeDocument/2006/relationships/image" Target="../media/image4.svg"/><Relationship Id="rId11" Type="http://schemas.openxmlformats.org/officeDocument/2006/relationships/image" Target="../media/image11.png"/><Relationship Id="rId5" Type="http://schemas.openxmlformats.org/officeDocument/2006/relationships/image" Target="../media/image3.png"/><Relationship Id="rId15" Type="http://schemas.openxmlformats.org/officeDocument/2006/relationships/chart" Target="../charts/chart13.xml"/><Relationship Id="rId10" Type="http://schemas.openxmlformats.org/officeDocument/2006/relationships/chart" Target="../charts/chart12.xml"/><Relationship Id="rId4" Type="http://schemas.openxmlformats.org/officeDocument/2006/relationships/image" Target="../media/image6.svg"/><Relationship Id="rId9" Type="http://schemas.openxmlformats.org/officeDocument/2006/relationships/chart" Target="../charts/chart11.xml"/><Relationship Id="rId1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editAs="oneCell">
    <xdr:from>
      <xdr:col>5</xdr:col>
      <xdr:colOff>10884</xdr:colOff>
      <xdr:row>7</xdr:row>
      <xdr:rowOff>103414</xdr:rowOff>
    </xdr:from>
    <xdr:to>
      <xdr:col>6</xdr:col>
      <xdr:colOff>728253</xdr:colOff>
      <xdr:row>17</xdr:row>
      <xdr:rowOff>70757</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AF115FFB-E883-40CD-AFE2-7B94737EA55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288970" y="1360714"/>
              <a:ext cx="1426029" cy="1763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669471</xdr:colOff>
      <xdr:row>20</xdr:row>
      <xdr:rowOff>0</xdr:rowOff>
    </xdr:from>
    <xdr:to>
      <xdr:col>10</xdr:col>
      <xdr:colOff>5441</xdr:colOff>
      <xdr:row>33</xdr:row>
      <xdr:rowOff>65315</xdr:rowOff>
    </xdr:to>
    <xdr:graphicFrame macro="">
      <xdr:nvGraphicFramePr>
        <xdr:cNvPr id="4" name="Chart 3">
          <a:extLst>
            <a:ext uri="{FF2B5EF4-FFF2-40B4-BE49-F238E27FC236}">
              <a16:creationId xmlns:a16="http://schemas.microsoft.com/office/drawing/2014/main" id="{984CC3D6-8348-4393-8BC2-62686A949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255814</xdr:colOff>
      <xdr:row>43</xdr:row>
      <xdr:rowOff>8164</xdr:rowOff>
    </xdr:from>
    <xdr:to>
      <xdr:col>4</xdr:col>
      <xdr:colOff>767442</xdr:colOff>
      <xdr:row>53</xdr:row>
      <xdr:rowOff>16329</xdr:rowOff>
    </xdr:to>
    <xdr:graphicFrame macro="">
      <xdr:nvGraphicFramePr>
        <xdr:cNvPr id="5" name="Chart 4">
          <a:extLst>
            <a:ext uri="{FF2B5EF4-FFF2-40B4-BE49-F238E27FC236}">
              <a16:creationId xmlns:a16="http://schemas.microsoft.com/office/drawing/2014/main" id="{62D50F92-9102-48C2-8773-4E2E2C04EE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723899</xdr:colOff>
      <xdr:row>43</xdr:row>
      <xdr:rowOff>40821</xdr:rowOff>
    </xdr:from>
    <xdr:to>
      <xdr:col>8</xdr:col>
      <xdr:colOff>321128</xdr:colOff>
      <xdr:row>53</xdr:row>
      <xdr:rowOff>16329</xdr:rowOff>
    </xdr:to>
    <xdr:graphicFrame macro="">
      <xdr:nvGraphicFramePr>
        <xdr:cNvPr id="6" name="Chart 5">
          <a:extLst>
            <a:ext uri="{FF2B5EF4-FFF2-40B4-BE49-F238E27FC236}">
              <a16:creationId xmlns:a16="http://schemas.microsoft.com/office/drawing/2014/main" id="{5947CFE3-C81B-40D2-B66E-7151C06E8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538842</xdr:colOff>
      <xdr:row>55</xdr:row>
      <xdr:rowOff>13607</xdr:rowOff>
    </xdr:from>
    <xdr:to>
      <xdr:col>11</xdr:col>
      <xdr:colOff>544285</xdr:colOff>
      <xdr:row>68</xdr:row>
      <xdr:rowOff>10887</xdr:rowOff>
    </xdr:to>
    <xdr:graphicFrame macro="">
      <xdr:nvGraphicFramePr>
        <xdr:cNvPr id="9" name="Chart 8">
          <a:extLst>
            <a:ext uri="{FF2B5EF4-FFF2-40B4-BE49-F238E27FC236}">
              <a16:creationId xmlns:a16="http://schemas.microsoft.com/office/drawing/2014/main" id="{C37A8995-D2EC-4839-A51D-E9B9C6AE4E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244928</xdr:colOff>
      <xdr:row>70</xdr:row>
      <xdr:rowOff>149678</xdr:rowOff>
    </xdr:from>
    <xdr:to>
      <xdr:col>11</xdr:col>
      <xdr:colOff>272142</xdr:colOff>
      <xdr:row>77</xdr:row>
      <xdr:rowOff>97972</xdr:rowOff>
    </xdr:to>
    <xdr:graphicFrame macro="">
      <xdr:nvGraphicFramePr>
        <xdr:cNvPr id="10" name="Chart 9">
          <a:extLst>
            <a:ext uri="{FF2B5EF4-FFF2-40B4-BE49-F238E27FC236}">
              <a16:creationId xmlns:a16="http://schemas.microsoft.com/office/drawing/2014/main" id="{191AFB29-B2EB-40BE-9C2C-B7D299B9A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723901</xdr:colOff>
      <xdr:row>58</xdr:row>
      <xdr:rowOff>108857</xdr:rowOff>
    </xdr:from>
    <xdr:to>
      <xdr:col>6</xdr:col>
      <xdr:colOff>451758</xdr:colOff>
      <xdr:row>66</xdr:row>
      <xdr:rowOff>157842</xdr:rowOff>
    </xdr:to>
    <xdr:graphicFrame macro="">
      <xdr:nvGraphicFramePr>
        <xdr:cNvPr id="3" name="Chart 2">
          <a:extLst>
            <a:ext uri="{FF2B5EF4-FFF2-40B4-BE49-F238E27FC236}">
              <a16:creationId xmlns:a16="http://schemas.microsoft.com/office/drawing/2014/main" id="{E52EA94F-3D20-4080-A044-7E41B75A2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141514</xdr:colOff>
      <xdr:row>5</xdr:row>
      <xdr:rowOff>27215</xdr:rowOff>
    </xdr:from>
    <xdr:to>
      <xdr:col>10</xdr:col>
      <xdr:colOff>5442</xdr:colOff>
      <xdr:row>16</xdr:row>
      <xdr:rowOff>59870</xdr:rowOff>
    </xdr:to>
    <xdr:graphicFrame macro="">
      <xdr:nvGraphicFramePr>
        <xdr:cNvPr id="7" name="Chart 6">
          <a:extLst>
            <a:ext uri="{FF2B5EF4-FFF2-40B4-BE49-F238E27FC236}">
              <a16:creationId xmlns:a16="http://schemas.microsoft.com/office/drawing/2014/main" id="{2DCCBD41-8ACB-4C72-ABCA-DB4E82ABD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168728</xdr:colOff>
      <xdr:row>109</xdr:row>
      <xdr:rowOff>125186</xdr:rowOff>
    </xdr:from>
    <xdr:to>
      <xdr:col>6</xdr:col>
      <xdr:colOff>598715</xdr:colOff>
      <xdr:row>120</xdr:row>
      <xdr:rowOff>152401</xdr:rowOff>
    </xdr:to>
    <xdr:graphicFrame macro="">
      <xdr:nvGraphicFramePr>
        <xdr:cNvPr id="11" name="Chart 10">
          <a:extLst>
            <a:ext uri="{FF2B5EF4-FFF2-40B4-BE49-F238E27FC236}">
              <a16:creationId xmlns:a16="http://schemas.microsoft.com/office/drawing/2014/main" id="{9996DFE4-550E-4E2D-AE53-66E5958EA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114301</xdr:colOff>
      <xdr:row>4</xdr:row>
      <xdr:rowOff>10887</xdr:rowOff>
    </xdr:from>
    <xdr:ext cx="168728" cy="125186"/>
    <xdr:sp macro="" textlink="">
      <xdr:nvSpPr>
        <xdr:cNvPr id="13" name="TextBox 12">
          <a:extLst>
            <a:ext uri="{FF2B5EF4-FFF2-40B4-BE49-F238E27FC236}">
              <a16:creationId xmlns:a16="http://schemas.microsoft.com/office/drawing/2014/main" id="{EB6EB147-C4AD-4C46-A12C-4BD4A3DB85CA}"/>
            </a:ext>
          </a:extLst>
        </xdr:cNvPr>
        <xdr:cNvSpPr txBox="1"/>
      </xdr:nvSpPr>
      <xdr:spPr>
        <a:xfrm flipH="1">
          <a:off x="4294415" y="1447801"/>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0</xdr:colOff>
      <xdr:row>3</xdr:row>
      <xdr:rowOff>10887</xdr:rowOff>
    </xdr:from>
    <xdr:ext cx="168728" cy="125186"/>
    <xdr:sp macro="" textlink="">
      <xdr:nvSpPr>
        <xdr:cNvPr id="18" name="TextBox 17">
          <a:extLst>
            <a:ext uri="{FF2B5EF4-FFF2-40B4-BE49-F238E27FC236}">
              <a16:creationId xmlns:a16="http://schemas.microsoft.com/office/drawing/2014/main" id="{E90EC9C0-2C94-413D-A2ED-4FA73E8F1E1D}"/>
            </a:ext>
          </a:extLst>
        </xdr:cNvPr>
        <xdr:cNvSpPr txBox="1"/>
      </xdr:nvSpPr>
      <xdr:spPr>
        <a:xfrm flipH="1">
          <a:off x="65315" y="1268187"/>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0</xdr:colOff>
      <xdr:row>3</xdr:row>
      <xdr:rowOff>21772</xdr:rowOff>
    </xdr:from>
    <xdr:ext cx="664027" cy="254557"/>
    <xdr:sp macro="" textlink="">
      <xdr:nvSpPr>
        <xdr:cNvPr id="19" name="TextBox 18">
          <a:extLst>
            <a:ext uri="{FF2B5EF4-FFF2-40B4-BE49-F238E27FC236}">
              <a16:creationId xmlns:a16="http://schemas.microsoft.com/office/drawing/2014/main" id="{C81EBED3-292E-4925-897E-D6D4C0C667CE}"/>
            </a:ext>
          </a:extLst>
        </xdr:cNvPr>
        <xdr:cNvSpPr txBox="1"/>
      </xdr:nvSpPr>
      <xdr:spPr>
        <a:xfrm>
          <a:off x="59871" y="1279072"/>
          <a:ext cx="66402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0</xdr:colOff>
      <xdr:row>3</xdr:row>
      <xdr:rowOff>32659</xdr:rowOff>
    </xdr:from>
    <xdr:ext cx="168728" cy="125186"/>
    <xdr:sp macro="" textlink="">
      <xdr:nvSpPr>
        <xdr:cNvPr id="23" name="TextBox 22">
          <a:extLst>
            <a:ext uri="{FF2B5EF4-FFF2-40B4-BE49-F238E27FC236}">
              <a16:creationId xmlns:a16="http://schemas.microsoft.com/office/drawing/2014/main" id="{C9BD9CD3-D0CB-4FD9-9CB2-FCAF8DD27CB2}"/>
            </a:ext>
          </a:extLst>
        </xdr:cNvPr>
        <xdr:cNvSpPr txBox="1"/>
      </xdr:nvSpPr>
      <xdr:spPr>
        <a:xfrm flipH="1">
          <a:off x="125186" y="1289959"/>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468085</xdr:colOff>
      <xdr:row>7</xdr:row>
      <xdr:rowOff>130629</xdr:rowOff>
    </xdr:from>
    <xdr:ext cx="903515" cy="416781"/>
    <xdr:sp macro="" textlink="">
      <xdr:nvSpPr>
        <xdr:cNvPr id="29" name="TextBox 28">
          <a:extLst>
            <a:ext uri="{FF2B5EF4-FFF2-40B4-BE49-F238E27FC236}">
              <a16:creationId xmlns:a16="http://schemas.microsoft.com/office/drawing/2014/main" id="{DBA4D46D-0F7B-4437-8D70-47443F6484CD}"/>
            </a:ext>
          </a:extLst>
        </xdr:cNvPr>
        <xdr:cNvSpPr txBox="1"/>
      </xdr:nvSpPr>
      <xdr:spPr>
        <a:xfrm>
          <a:off x="468085" y="1387929"/>
          <a:ext cx="903515"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solidFill>
              <a:schemeClr val="bg1"/>
            </a:solidFill>
          </a:endParaRPr>
        </a:p>
        <a:p>
          <a:endParaRPr lang="en-IN" sz="1100"/>
        </a:p>
      </xdr:txBody>
    </xdr:sp>
    <xdr:clientData/>
  </xdr:oneCellAnchor>
  <xdr:oneCellAnchor>
    <xdr:from>
      <xdr:col>3</xdr:col>
      <xdr:colOff>65315</xdr:colOff>
      <xdr:row>0</xdr:row>
      <xdr:rowOff>10887</xdr:rowOff>
    </xdr:from>
    <xdr:ext cx="168728" cy="125186"/>
    <xdr:sp macro="" textlink="">
      <xdr:nvSpPr>
        <xdr:cNvPr id="33" name="TextBox 32">
          <a:extLst>
            <a:ext uri="{FF2B5EF4-FFF2-40B4-BE49-F238E27FC236}">
              <a16:creationId xmlns:a16="http://schemas.microsoft.com/office/drawing/2014/main" id="{571F0DBA-F476-457A-8209-C6A079D76790}"/>
            </a:ext>
          </a:extLst>
        </xdr:cNvPr>
        <xdr:cNvSpPr txBox="1"/>
      </xdr:nvSpPr>
      <xdr:spPr>
        <a:xfrm flipH="1">
          <a:off x="2155372" y="729344"/>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59871</xdr:colOff>
      <xdr:row>0</xdr:row>
      <xdr:rowOff>0</xdr:rowOff>
    </xdr:from>
    <xdr:ext cx="664027" cy="460324"/>
    <xdr:sp macro="" textlink="">
      <xdr:nvSpPr>
        <xdr:cNvPr id="34" name="TextBox 33">
          <a:extLst>
            <a:ext uri="{FF2B5EF4-FFF2-40B4-BE49-F238E27FC236}">
              <a16:creationId xmlns:a16="http://schemas.microsoft.com/office/drawing/2014/main" id="{FDA8017A-8319-4019-A626-7CFBE5980AEC}"/>
            </a:ext>
          </a:extLst>
        </xdr:cNvPr>
        <xdr:cNvSpPr txBox="1"/>
      </xdr:nvSpPr>
      <xdr:spPr>
        <a:xfrm>
          <a:off x="2149928" y="696687"/>
          <a:ext cx="664027" cy="4603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oneCellAnchor>
    <xdr:from>
      <xdr:col>0</xdr:col>
      <xdr:colOff>0</xdr:colOff>
      <xdr:row>4</xdr:row>
      <xdr:rowOff>5445</xdr:rowOff>
    </xdr:from>
    <xdr:ext cx="168728" cy="125186"/>
    <xdr:sp macro="" textlink="">
      <xdr:nvSpPr>
        <xdr:cNvPr id="48" name="TextBox 47">
          <a:extLst>
            <a:ext uri="{FF2B5EF4-FFF2-40B4-BE49-F238E27FC236}">
              <a16:creationId xmlns:a16="http://schemas.microsoft.com/office/drawing/2014/main" id="{BA6189B6-891C-4E6B-B962-A763A1335425}"/>
            </a:ext>
          </a:extLst>
        </xdr:cNvPr>
        <xdr:cNvSpPr txBox="1"/>
      </xdr:nvSpPr>
      <xdr:spPr>
        <a:xfrm flipH="1">
          <a:off x="277586" y="1442359"/>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0</xdr:colOff>
      <xdr:row>4</xdr:row>
      <xdr:rowOff>11007</xdr:rowOff>
    </xdr:from>
    <xdr:ext cx="201462" cy="126356"/>
    <xdr:sp macro="" textlink="">
      <xdr:nvSpPr>
        <xdr:cNvPr id="53" name="TextBox 52">
          <a:extLst>
            <a:ext uri="{FF2B5EF4-FFF2-40B4-BE49-F238E27FC236}">
              <a16:creationId xmlns:a16="http://schemas.microsoft.com/office/drawing/2014/main" id="{CDDF6A0D-3F9E-4F17-9068-EE1F3C863A59}"/>
            </a:ext>
          </a:extLst>
        </xdr:cNvPr>
        <xdr:cNvSpPr txBox="1"/>
      </xdr:nvSpPr>
      <xdr:spPr>
        <a:xfrm rot="21413460" flipH="1">
          <a:off x="728766" y="1447921"/>
          <a:ext cx="201462" cy="1263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0</xdr:colOff>
      <xdr:row>2</xdr:row>
      <xdr:rowOff>10887</xdr:rowOff>
    </xdr:from>
    <xdr:ext cx="168728" cy="125186"/>
    <xdr:sp macro="" textlink="">
      <xdr:nvSpPr>
        <xdr:cNvPr id="58" name="TextBox 57">
          <a:extLst>
            <a:ext uri="{FF2B5EF4-FFF2-40B4-BE49-F238E27FC236}">
              <a16:creationId xmlns:a16="http://schemas.microsoft.com/office/drawing/2014/main" id="{587B35EE-1061-49D0-AD68-C5AFBC36CC5D}"/>
            </a:ext>
          </a:extLst>
        </xdr:cNvPr>
        <xdr:cNvSpPr txBox="1"/>
      </xdr:nvSpPr>
      <xdr:spPr>
        <a:xfrm flipH="1">
          <a:off x="762001" y="1088573"/>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0</xdr:col>
      <xdr:colOff>0</xdr:colOff>
      <xdr:row>4</xdr:row>
      <xdr:rowOff>64057</xdr:rowOff>
    </xdr:from>
    <xdr:ext cx="517070" cy="153658"/>
    <xdr:sp macro="" textlink="">
      <xdr:nvSpPr>
        <xdr:cNvPr id="59" name="TextBox 58">
          <a:extLst>
            <a:ext uri="{FF2B5EF4-FFF2-40B4-BE49-F238E27FC236}">
              <a16:creationId xmlns:a16="http://schemas.microsoft.com/office/drawing/2014/main" id="{BDE016AC-2207-45DE-BAEA-4BA8860C005C}"/>
            </a:ext>
          </a:extLst>
        </xdr:cNvPr>
        <xdr:cNvSpPr txBox="1"/>
      </xdr:nvSpPr>
      <xdr:spPr>
        <a:xfrm flipV="1">
          <a:off x="0" y="1500971"/>
          <a:ext cx="517070" cy="153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xdr:col>
      <xdr:colOff>550333</xdr:colOff>
      <xdr:row>3</xdr:row>
      <xdr:rowOff>105833</xdr:rowOff>
    </xdr:from>
    <xdr:to>
      <xdr:col>4</xdr:col>
      <xdr:colOff>84667</xdr:colOff>
      <xdr:row>8</xdr:row>
      <xdr:rowOff>140606</xdr:rowOff>
    </xdr:to>
    <xdr:sp macro="" textlink="pivots!A4">
      <xdr:nvSpPr>
        <xdr:cNvPr id="63" name="Rectangle 62">
          <a:extLst>
            <a:ext uri="{FF2B5EF4-FFF2-40B4-BE49-F238E27FC236}">
              <a16:creationId xmlns:a16="http://schemas.microsoft.com/office/drawing/2014/main" id="{FF9C255D-F281-48F9-8F15-E28B123B5D01}"/>
            </a:ext>
          </a:extLst>
        </xdr:cNvPr>
        <xdr:cNvSpPr/>
      </xdr:nvSpPr>
      <xdr:spPr>
        <a:xfrm>
          <a:off x="1248833" y="645583"/>
          <a:ext cx="1566334" cy="934356"/>
        </a:xfrm>
        <a:prstGeom prst="rect">
          <a:avLst/>
        </a:prstGeom>
        <a:solidFill>
          <a:schemeClr val="accent1">
            <a:alpha val="88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4C27205B-3097-4ED8-8FC8-6613F83B8A9E}" type="TxLink">
            <a:rPr lang="en-US" sz="1400" b="0" i="0" u="none" strike="noStrike">
              <a:solidFill>
                <a:schemeClr val="bg1"/>
              </a:solidFill>
              <a:latin typeface="Arial"/>
              <a:cs typeface="Arial"/>
            </a:rPr>
            <a:pPr algn="l"/>
            <a:t>1000</a:t>
          </a:fld>
          <a:endParaRPr lang="en-US" sz="1400">
            <a:solidFill>
              <a:schemeClr val="bg1"/>
            </a:solidFill>
          </a:endParaRPr>
        </a:p>
      </xdr:txBody>
    </xdr:sp>
    <xdr:clientData/>
  </xdr:twoCellAnchor>
  <xdr:oneCellAnchor>
    <xdr:from>
      <xdr:col>2</xdr:col>
      <xdr:colOff>27215</xdr:colOff>
      <xdr:row>0</xdr:row>
      <xdr:rowOff>0</xdr:rowOff>
    </xdr:from>
    <xdr:ext cx="168728" cy="125186"/>
    <xdr:sp macro="" textlink="">
      <xdr:nvSpPr>
        <xdr:cNvPr id="64" name="TextBox 63">
          <a:extLst>
            <a:ext uri="{FF2B5EF4-FFF2-40B4-BE49-F238E27FC236}">
              <a16:creationId xmlns:a16="http://schemas.microsoft.com/office/drawing/2014/main" id="{2A5A30FA-4120-4BB0-B82E-8B4F3006DAB7}"/>
            </a:ext>
          </a:extLst>
        </xdr:cNvPr>
        <xdr:cNvSpPr txBox="1"/>
      </xdr:nvSpPr>
      <xdr:spPr>
        <a:xfrm flipH="1">
          <a:off x="1420586" y="718457"/>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32354</xdr:colOff>
      <xdr:row>4</xdr:row>
      <xdr:rowOff>21468</xdr:rowOff>
    </xdr:from>
    <xdr:ext cx="664027" cy="416781"/>
    <xdr:sp macro="" textlink="">
      <xdr:nvSpPr>
        <xdr:cNvPr id="65" name="TextBox 64">
          <a:extLst>
            <a:ext uri="{FF2B5EF4-FFF2-40B4-BE49-F238E27FC236}">
              <a16:creationId xmlns:a16="http://schemas.microsoft.com/office/drawing/2014/main" id="{4AC50839-967C-45E6-8021-823DA692E5B4}"/>
            </a:ext>
          </a:extLst>
        </xdr:cNvPr>
        <xdr:cNvSpPr txBox="1"/>
      </xdr:nvSpPr>
      <xdr:spPr>
        <a:xfrm>
          <a:off x="1429354" y="741135"/>
          <a:ext cx="664027" cy="416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chemeClr val="bg1"/>
              </a:solidFill>
            </a:rPr>
            <a:t>Calls</a:t>
          </a:r>
        </a:p>
        <a:p>
          <a:endParaRPr lang="en-IN" sz="1100"/>
        </a:p>
      </xdr:txBody>
    </xdr:sp>
    <xdr:clientData/>
  </xdr:oneCellAnchor>
  <xdr:twoCellAnchor editAs="oneCell">
    <xdr:from>
      <xdr:col>3</xdr:col>
      <xdr:colOff>227677</xdr:colOff>
      <xdr:row>4</xdr:row>
      <xdr:rowOff>95250</xdr:rowOff>
    </xdr:from>
    <xdr:to>
      <xdr:col>3</xdr:col>
      <xdr:colOff>570592</xdr:colOff>
      <xdr:row>6</xdr:row>
      <xdr:rowOff>60969</xdr:rowOff>
    </xdr:to>
    <xdr:pic>
      <xdr:nvPicPr>
        <xdr:cNvPr id="66" name="Graphic 65" descr="Receiver with solid fill">
          <a:extLst>
            <a:ext uri="{FF2B5EF4-FFF2-40B4-BE49-F238E27FC236}">
              <a16:creationId xmlns:a16="http://schemas.microsoft.com/office/drawing/2014/main" id="{F81B4152-83E0-4F98-BBA0-A85FBBB49D3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91427" y="814917"/>
          <a:ext cx="342915" cy="325552"/>
        </a:xfrm>
        <a:prstGeom prst="rect">
          <a:avLst/>
        </a:prstGeom>
      </xdr:spPr>
    </xdr:pic>
    <xdr:clientData/>
  </xdr:twoCellAnchor>
  <xdr:oneCellAnchor>
    <xdr:from>
      <xdr:col>2</xdr:col>
      <xdr:colOff>12700</xdr:colOff>
      <xdr:row>6</xdr:row>
      <xdr:rowOff>176590</xdr:rowOff>
    </xdr:from>
    <xdr:ext cx="560616" cy="254557"/>
    <xdr:sp macro="" textlink="pivots!A11">
      <xdr:nvSpPr>
        <xdr:cNvPr id="67" name="TextBox 66">
          <a:extLst>
            <a:ext uri="{FF2B5EF4-FFF2-40B4-BE49-F238E27FC236}">
              <a16:creationId xmlns:a16="http://schemas.microsoft.com/office/drawing/2014/main" id="{17014350-9FBF-4976-8809-B7389FAF38E6}"/>
            </a:ext>
          </a:extLst>
        </xdr:cNvPr>
        <xdr:cNvSpPr txBox="1"/>
      </xdr:nvSpPr>
      <xdr:spPr>
        <a:xfrm>
          <a:off x="1409700" y="1256090"/>
          <a:ext cx="560616"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D0CB9A1-D47F-432E-B508-9217AB5D416A}" type="TxLink">
            <a:rPr lang="en-US" sz="1100" b="0" i="0" u="none" strike="noStrike">
              <a:solidFill>
                <a:srgbClr val="000000"/>
              </a:solidFill>
              <a:latin typeface="Arial"/>
              <a:cs typeface="Arial"/>
            </a:rPr>
            <a:pPr/>
            <a:t>207</a:t>
          </a:fld>
          <a:endParaRPr lang="en-IN" sz="1100"/>
        </a:p>
      </xdr:txBody>
    </xdr:sp>
    <xdr:clientData/>
  </xdr:oneCellAnchor>
  <xdr:oneCellAnchor>
    <xdr:from>
      <xdr:col>2</xdr:col>
      <xdr:colOff>179615</xdr:colOff>
      <xdr:row>0</xdr:row>
      <xdr:rowOff>152400</xdr:rowOff>
    </xdr:from>
    <xdr:ext cx="168728" cy="125186"/>
    <xdr:sp macro="" textlink="">
      <xdr:nvSpPr>
        <xdr:cNvPr id="69" name="TextBox 68">
          <a:extLst>
            <a:ext uri="{FF2B5EF4-FFF2-40B4-BE49-F238E27FC236}">
              <a16:creationId xmlns:a16="http://schemas.microsoft.com/office/drawing/2014/main" id="{1F496264-0527-408C-9645-21531CB49ED5}"/>
            </a:ext>
          </a:extLst>
        </xdr:cNvPr>
        <xdr:cNvSpPr txBox="1"/>
      </xdr:nvSpPr>
      <xdr:spPr>
        <a:xfrm flipH="1">
          <a:off x="1572986" y="870857"/>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174171</xdr:colOff>
      <xdr:row>0</xdr:row>
      <xdr:rowOff>163285</xdr:rowOff>
    </xdr:from>
    <xdr:ext cx="664027" cy="254557"/>
    <xdr:sp macro="" textlink="">
      <xdr:nvSpPr>
        <xdr:cNvPr id="70" name="TextBox 69">
          <a:extLst>
            <a:ext uri="{FF2B5EF4-FFF2-40B4-BE49-F238E27FC236}">
              <a16:creationId xmlns:a16="http://schemas.microsoft.com/office/drawing/2014/main" id="{188A120A-ED7E-4167-A361-5C2F09790C05}"/>
            </a:ext>
          </a:extLst>
        </xdr:cNvPr>
        <xdr:cNvSpPr txBox="1"/>
      </xdr:nvSpPr>
      <xdr:spPr>
        <a:xfrm>
          <a:off x="1567542" y="881742"/>
          <a:ext cx="664027"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xdr:col>
      <xdr:colOff>534909</xdr:colOff>
      <xdr:row>9</xdr:row>
      <xdr:rowOff>105833</xdr:rowOff>
    </xdr:from>
    <xdr:to>
      <xdr:col>4</xdr:col>
      <xdr:colOff>116416</xdr:colOff>
      <xdr:row>14</xdr:row>
      <xdr:rowOff>148167</xdr:rowOff>
    </xdr:to>
    <xdr:sp macro="" textlink="pivots!B4">
      <xdr:nvSpPr>
        <xdr:cNvPr id="73" name="Rectangle 72">
          <a:extLst>
            <a:ext uri="{FF2B5EF4-FFF2-40B4-BE49-F238E27FC236}">
              <a16:creationId xmlns:a16="http://schemas.microsoft.com/office/drawing/2014/main" id="{8E49B0D2-1C46-43E6-8C99-5B386E10D9E7}"/>
            </a:ext>
          </a:extLst>
        </xdr:cNvPr>
        <xdr:cNvSpPr/>
      </xdr:nvSpPr>
      <xdr:spPr>
        <a:xfrm>
          <a:off x="1233409" y="1725083"/>
          <a:ext cx="1613507" cy="941917"/>
        </a:xfrm>
        <a:prstGeom prst="rect">
          <a:avLst/>
        </a:prstGeom>
        <a:solidFill>
          <a:schemeClr val="accent1">
            <a:alpha val="88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1E5E04CF-26E3-4A1D-94AA-26C3D2C37803}" type="TxLink">
            <a:rPr lang="en-US" sz="1100" b="0" i="0" u="none" strike="noStrike">
              <a:solidFill>
                <a:schemeClr val="bg1"/>
              </a:solidFill>
              <a:latin typeface="Arial"/>
              <a:cs typeface="Arial"/>
            </a:rPr>
            <a:pPr algn="l"/>
            <a:t>$96,623</a:t>
          </a:fld>
          <a:endParaRPr lang="en-US" sz="1400">
            <a:solidFill>
              <a:schemeClr val="bg1"/>
            </a:solidFill>
          </a:endParaRPr>
        </a:p>
      </xdr:txBody>
    </xdr:sp>
    <xdr:clientData/>
  </xdr:twoCellAnchor>
  <xdr:oneCellAnchor>
    <xdr:from>
      <xdr:col>2</xdr:col>
      <xdr:colOff>179615</xdr:colOff>
      <xdr:row>4</xdr:row>
      <xdr:rowOff>97972</xdr:rowOff>
    </xdr:from>
    <xdr:ext cx="168728" cy="125186"/>
    <xdr:sp macro="" textlink="">
      <xdr:nvSpPr>
        <xdr:cNvPr id="76" name="TextBox 75">
          <a:extLst>
            <a:ext uri="{FF2B5EF4-FFF2-40B4-BE49-F238E27FC236}">
              <a16:creationId xmlns:a16="http://schemas.microsoft.com/office/drawing/2014/main" id="{979D120E-5616-41C4-B401-30FDB172F472}"/>
            </a:ext>
          </a:extLst>
        </xdr:cNvPr>
        <xdr:cNvSpPr txBox="1"/>
      </xdr:nvSpPr>
      <xdr:spPr>
        <a:xfrm flipH="1">
          <a:off x="1572986" y="816429"/>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34473</xdr:colOff>
      <xdr:row>10</xdr:row>
      <xdr:rowOff>32960</xdr:rowOff>
    </xdr:from>
    <xdr:ext cx="696686" cy="201386"/>
    <xdr:sp macro="" textlink="">
      <xdr:nvSpPr>
        <xdr:cNvPr id="77" name="TextBox 76">
          <a:extLst>
            <a:ext uri="{FF2B5EF4-FFF2-40B4-BE49-F238E27FC236}">
              <a16:creationId xmlns:a16="http://schemas.microsoft.com/office/drawing/2014/main" id="{010DC1C1-CC0A-4C93-8CFF-3AEC1A0179AE}"/>
            </a:ext>
          </a:extLst>
        </xdr:cNvPr>
        <xdr:cNvSpPr txBox="1"/>
      </xdr:nvSpPr>
      <xdr:spPr>
        <a:xfrm>
          <a:off x="1431473" y="1832127"/>
          <a:ext cx="696686" cy="201386"/>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solidFill>
            </a:rPr>
            <a:t>Amount</a:t>
          </a:r>
        </a:p>
        <a:p>
          <a:endParaRPr lang="en-IN" sz="1100"/>
        </a:p>
      </xdr:txBody>
    </xdr:sp>
    <xdr:clientData/>
  </xdr:oneCellAnchor>
  <xdr:twoCellAnchor>
    <xdr:from>
      <xdr:col>1</xdr:col>
      <xdr:colOff>508000</xdr:colOff>
      <xdr:row>15</xdr:row>
      <xdr:rowOff>148167</xdr:rowOff>
    </xdr:from>
    <xdr:to>
      <xdr:col>4</xdr:col>
      <xdr:colOff>42333</xdr:colOff>
      <xdr:row>21</xdr:row>
      <xdr:rowOff>39308</xdr:rowOff>
    </xdr:to>
    <xdr:sp macro="" textlink="pivots!C4">
      <xdr:nvSpPr>
        <xdr:cNvPr id="78" name="Rectangle 77">
          <a:extLst>
            <a:ext uri="{FF2B5EF4-FFF2-40B4-BE49-F238E27FC236}">
              <a16:creationId xmlns:a16="http://schemas.microsoft.com/office/drawing/2014/main" id="{DAC49795-B26B-4052-BC38-E63EE4DC34AE}"/>
            </a:ext>
          </a:extLst>
        </xdr:cNvPr>
        <xdr:cNvSpPr/>
      </xdr:nvSpPr>
      <xdr:spPr>
        <a:xfrm>
          <a:off x="1206500" y="2846917"/>
          <a:ext cx="1566333" cy="970641"/>
        </a:xfrm>
        <a:prstGeom prst="rect">
          <a:avLst/>
        </a:prstGeom>
        <a:solidFill>
          <a:schemeClr val="accent1">
            <a:alpha val="88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600D8B10-BF05-4149-B925-1EC1C347E96F}" type="TxLink">
            <a:rPr lang="en-US" sz="1100" b="0" i="0" u="none" strike="noStrike">
              <a:solidFill>
                <a:schemeClr val="bg1"/>
              </a:solidFill>
              <a:latin typeface="Arial"/>
              <a:cs typeface="Arial"/>
            </a:rPr>
            <a:pPr algn="l"/>
            <a:t>89850</a:t>
          </a:fld>
          <a:endParaRPr lang="en-US" sz="1400">
            <a:solidFill>
              <a:schemeClr val="bg1"/>
            </a:solidFill>
          </a:endParaRPr>
        </a:p>
      </xdr:txBody>
    </xdr:sp>
    <xdr:clientData/>
  </xdr:twoCellAnchor>
  <xdr:oneCellAnchor>
    <xdr:from>
      <xdr:col>2</xdr:col>
      <xdr:colOff>179615</xdr:colOff>
      <xdr:row>8</xdr:row>
      <xdr:rowOff>97972</xdr:rowOff>
    </xdr:from>
    <xdr:ext cx="168728" cy="125186"/>
    <xdr:sp macro="" textlink="">
      <xdr:nvSpPr>
        <xdr:cNvPr id="81" name="TextBox 80">
          <a:extLst>
            <a:ext uri="{FF2B5EF4-FFF2-40B4-BE49-F238E27FC236}">
              <a16:creationId xmlns:a16="http://schemas.microsoft.com/office/drawing/2014/main" id="{FDA62431-9C49-42C7-B998-823FD0FC8104}"/>
            </a:ext>
          </a:extLst>
        </xdr:cNvPr>
        <xdr:cNvSpPr txBox="1"/>
      </xdr:nvSpPr>
      <xdr:spPr>
        <a:xfrm flipH="1">
          <a:off x="1572986" y="1534886"/>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1</xdr:col>
      <xdr:colOff>664633</xdr:colOff>
      <xdr:row>16</xdr:row>
      <xdr:rowOff>20562</xdr:rowOff>
    </xdr:from>
    <xdr:ext cx="723898" cy="201385"/>
    <xdr:sp macro="" textlink="">
      <xdr:nvSpPr>
        <xdr:cNvPr id="82" name="TextBox 81">
          <a:extLst>
            <a:ext uri="{FF2B5EF4-FFF2-40B4-BE49-F238E27FC236}">
              <a16:creationId xmlns:a16="http://schemas.microsoft.com/office/drawing/2014/main" id="{1D4EA454-DA73-45C2-9E94-44F789C0EA91}"/>
            </a:ext>
          </a:extLst>
        </xdr:cNvPr>
        <xdr:cNvSpPr txBox="1"/>
      </xdr:nvSpPr>
      <xdr:spPr>
        <a:xfrm>
          <a:off x="1363133" y="2899229"/>
          <a:ext cx="723898" cy="2013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solidFill>
            </a:rPr>
            <a:t>Duration</a:t>
          </a:r>
        </a:p>
      </xdr:txBody>
    </xdr:sp>
    <xdr:clientData/>
  </xdr:oneCellAnchor>
  <xdr:oneCellAnchor>
    <xdr:from>
      <xdr:col>2</xdr:col>
      <xdr:colOff>179615</xdr:colOff>
      <xdr:row>12</xdr:row>
      <xdr:rowOff>97972</xdr:rowOff>
    </xdr:from>
    <xdr:ext cx="168728" cy="125186"/>
    <xdr:sp macro="" textlink="">
      <xdr:nvSpPr>
        <xdr:cNvPr id="86" name="TextBox 85">
          <a:extLst>
            <a:ext uri="{FF2B5EF4-FFF2-40B4-BE49-F238E27FC236}">
              <a16:creationId xmlns:a16="http://schemas.microsoft.com/office/drawing/2014/main" id="{3BCFF066-8C23-460B-912F-3FFB8A09E1F1}"/>
            </a:ext>
          </a:extLst>
        </xdr:cNvPr>
        <xdr:cNvSpPr txBox="1"/>
      </xdr:nvSpPr>
      <xdr:spPr>
        <a:xfrm flipH="1">
          <a:off x="1572986" y="2253343"/>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179615</xdr:colOff>
      <xdr:row>14</xdr:row>
      <xdr:rowOff>0</xdr:rowOff>
    </xdr:from>
    <xdr:ext cx="168728" cy="125186"/>
    <xdr:sp macro="" textlink="">
      <xdr:nvSpPr>
        <xdr:cNvPr id="91" name="TextBox 90">
          <a:extLst>
            <a:ext uri="{FF2B5EF4-FFF2-40B4-BE49-F238E27FC236}">
              <a16:creationId xmlns:a16="http://schemas.microsoft.com/office/drawing/2014/main" id="{6E323BD9-C4F1-4F58-87D9-4277C5F51FEF}"/>
            </a:ext>
          </a:extLst>
        </xdr:cNvPr>
        <xdr:cNvSpPr txBox="1"/>
      </xdr:nvSpPr>
      <xdr:spPr>
        <a:xfrm flipH="1">
          <a:off x="1572986" y="2971801"/>
          <a:ext cx="168728" cy="1251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70759</xdr:colOff>
      <xdr:row>14</xdr:row>
      <xdr:rowOff>0</xdr:rowOff>
    </xdr:from>
    <xdr:ext cx="876300" cy="261258"/>
    <xdr:sp macro="" textlink="">
      <xdr:nvSpPr>
        <xdr:cNvPr id="92" name="TextBox 91">
          <a:extLst>
            <a:ext uri="{FF2B5EF4-FFF2-40B4-BE49-F238E27FC236}">
              <a16:creationId xmlns:a16="http://schemas.microsoft.com/office/drawing/2014/main" id="{AFA115B3-CC29-4B12-8868-92129E4057A8}"/>
            </a:ext>
          </a:extLst>
        </xdr:cNvPr>
        <xdr:cNvSpPr txBox="1"/>
      </xdr:nvSpPr>
      <xdr:spPr>
        <a:xfrm>
          <a:off x="1464130" y="2857500"/>
          <a:ext cx="876300" cy="26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solidFill>
              <a:schemeClr val="bg1"/>
            </a:solidFill>
          </a:endParaRPr>
        </a:p>
      </xdr:txBody>
    </xdr:sp>
    <xdr:clientData/>
  </xdr:oneCellAnchor>
  <xdr:twoCellAnchor editAs="oneCell">
    <xdr:from>
      <xdr:col>3</xdr:col>
      <xdr:colOff>173287</xdr:colOff>
      <xdr:row>11</xdr:row>
      <xdr:rowOff>10584</xdr:rowOff>
    </xdr:from>
    <xdr:to>
      <xdr:col>4</xdr:col>
      <xdr:colOff>32289</xdr:colOff>
      <xdr:row>13</xdr:row>
      <xdr:rowOff>136074</xdr:rowOff>
    </xdr:to>
    <xdr:pic>
      <xdr:nvPicPr>
        <xdr:cNvPr id="95" name="Graphic 94" descr="Shopping cart with solid fill">
          <a:extLst>
            <a:ext uri="{FF2B5EF4-FFF2-40B4-BE49-F238E27FC236}">
              <a16:creationId xmlns:a16="http://schemas.microsoft.com/office/drawing/2014/main" id="{FD5D76CE-C837-41D2-B576-2A84BF1E9F1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237037" y="1989667"/>
          <a:ext cx="525752" cy="485324"/>
        </a:xfrm>
        <a:prstGeom prst="rect">
          <a:avLst/>
        </a:prstGeom>
      </xdr:spPr>
    </xdr:pic>
    <xdr:clientData/>
  </xdr:twoCellAnchor>
  <xdr:twoCellAnchor editAs="oneCell">
    <xdr:from>
      <xdr:col>3</xdr:col>
      <xdr:colOff>124581</xdr:colOff>
      <xdr:row>17</xdr:row>
      <xdr:rowOff>91017</xdr:rowOff>
    </xdr:from>
    <xdr:to>
      <xdr:col>3</xdr:col>
      <xdr:colOff>451153</xdr:colOff>
      <xdr:row>19</xdr:row>
      <xdr:rowOff>49568</xdr:rowOff>
    </xdr:to>
    <xdr:pic>
      <xdr:nvPicPr>
        <xdr:cNvPr id="97" name="Graphic 96" descr="Hourglass Finished with solid fill">
          <a:extLst>
            <a:ext uri="{FF2B5EF4-FFF2-40B4-BE49-F238E27FC236}">
              <a16:creationId xmlns:a16="http://schemas.microsoft.com/office/drawing/2014/main" id="{1244C2AB-AE00-4681-ACD1-8CBF39C42B3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88331" y="3149600"/>
          <a:ext cx="326572" cy="318385"/>
        </a:xfrm>
        <a:prstGeom prst="rect">
          <a:avLst/>
        </a:prstGeom>
      </xdr:spPr>
    </xdr:pic>
    <xdr:clientData/>
  </xdr:twoCellAnchor>
  <xdr:oneCellAnchor>
    <xdr:from>
      <xdr:col>2</xdr:col>
      <xdr:colOff>342900</xdr:colOff>
      <xdr:row>7</xdr:row>
      <xdr:rowOff>43543</xdr:rowOff>
    </xdr:from>
    <xdr:ext cx="184731" cy="254557"/>
    <xdr:sp macro="" textlink="">
      <xdr:nvSpPr>
        <xdr:cNvPr id="101" name="TextBox 100">
          <a:extLst>
            <a:ext uri="{FF2B5EF4-FFF2-40B4-BE49-F238E27FC236}">
              <a16:creationId xmlns:a16="http://schemas.microsoft.com/office/drawing/2014/main" id="{87DE8353-0A12-4361-A7EC-DD4BC1C01507}"/>
            </a:ext>
          </a:extLst>
        </xdr:cNvPr>
        <xdr:cNvSpPr txBox="1"/>
      </xdr:nvSpPr>
      <xdr:spPr>
        <a:xfrm>
          <a:off x="1736271" y="1300843"/>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679149</xdr:colOff>
      <xdr:row>13</xdr:row>
      <xdr:rowOff>28727</xdr:rowOff>
    </xdr:from>
    <xdr:ext cx="870856" cy="254557"/>
    <xdr:sp macro="" textlink="pivots!B11">
      <xdr:nvSpPr>
        <xdr:cNvPr id="102" name="TextBox 101">
          <a:extLst>
            <a:ext uri="{FF2B5EF4-FFF2-40B4-BE49-F238E27FC236}">
              <a16:creationId xmlns:a16="http://schemas.microsoft.com/office/drawing/2014/main" id="{8C5EDE23-E186-4A8B-B8C1-0B45EBEC35C7}"/>
            </a:ext>
          </a:extLst>
        </xdr:cNvPr>
        <xdr:cNvSpPr txBox="1"/>
      </xdr:nvSpPr>
      <xdr:spPr>
        <a:xfrm>
          <a:off x="1377649" y="2367644"/>
          <a:ext cx="870856"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CF859D8-8262-4A04-8ABF-1D55C98509FB}" type="TxLink">
            <a:rPr lang="en-US" sz="1100" b="0" i="0" u="none" strike="noStrike">
              <a:solidFill>
                <a:srgbClr val="000000"/>
              </a:solidFill>
              <a:latin typeface="Arial"/>
              <a:cs typeface="Arial"/>
            </a:rPr>
            <a:pPr/>
            <a:t>$20,872</a:t>
          </a:fld>
          <a:endParaRPr lang="en-IN" sz="1100"/>
        </a:p>
      </xdr:txBody>
    </xdr:sp>
    <xdr:clientData/>
  </xdr:oneCellAnchor>
  <xdr:oneCellAnchor>
    <xdr:from>
      <xdr:col>1</xdr:col>
      <xdr:colOff>654050</xdr:colOff>
      <xdr:row>19</xdr:row>
      <xdr:rowOff>55336</xdr:rowOff>
    </xdr:from>
    <xdr:ext cx="849086" cy="201385"/>
    <xdr:sp macro="" textlink="pivots!C11">
      <xdr:nvSpPr>
        <xdr:cNvPr id="103" name="TextBox 102">
          <a:extLst>
            <a:ext uri="{FF2B5EF4-FFF2-40B4-BE49-F238E27FC236}">
              <a16:creationId xmlns:a16="http://schemas.microsoft.com/office/drawing/2014/main" id="{C9CE16F4-9A00-4997-910F-ECB1201C3568}"/>
            </a:ext>
          </a:extLst>
        </xdr:cNvPr>
        <xdr:cNvSpPr txBox="1"/>
      </xdr:nvSpPr>
      <xdr:spPr>
        <a:xfrm>
          <a:off x="1352550" y="3473753"/>
          <a:ext cx="849086" cy="2013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37DC0F5-5BD3-4B4E-9FC2-93D7F9FA4320}" type="TxLink">
            <a:rPr lang="en-US" sz="1100" b="0" i="0" u="none" strike="noStrike">
              <a:solidFill>
                <a:srgbClr val="000000"/>
              </a:solidFill>
              <a:latin typeface="Arial"/>
              <a:cs typeface="Arial"/>
            </a:rPr>
            <a:pPr/>
            <a:t>17700</a:t>
          </a:fld>
          <a:endParaRPr lang="en-IN" sz="1100"/>
        </a:p>
      </xdr:txBody>
    </xdr:sp>
    <xdr:clientData/>
  </xdr:oneCellAnchor>
  <xdr:twoCellAnchor editAs="oneCell">
    <xdr:from>
      <xdr:col>19</xdr:col>
      <xdr:colOff>456292</xdr:colOff>
      <xdr:row>6</xdr:row>
      <xdr:rowOff>169333</xdr:rowOff>
    </xdr:from>
    <xdr:to>
      <xdr:col>21</xdr:col>
      <xdr:colOff>645584</xdr:colOff>
      <xdr:row>16</xdr:row>
      <xdr:rowOff>137583</xdr:rowOff>
    </xdr:to>
    <mc:AlternateContent xmlns:mc="http://schemas.openxmlformats.org/markup-compatibility/2006" xmlns:a14="http://schemas.microsoft.com/office/drawing/2010/main">
      <mc:Choice Requires="a14">
        <xdr:graphicFrame macro="">
          <xdr:nvGraphicFramePr>
            <xdr:cNvPr id="107" name="Representative 1">
              <a:extLst>
                <a:ext uri="{FF2B5EF4-FFF2-40B4-BE49-F238E27FC236}">
                  <a16:creationId xmlns:a16="http://schemas.microsoft.com/office/drawing/2014/main" id="{69EC46D4-A437-4AF0-BE36-6435267F1B0C}"/>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6045542" y="1248833"/>
              <a:ext cx="1713292" cy="1767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656167</xdr:colOff>
      <xdr:row>4</xdr:row>
      <xdr:rowOff>52916</xdr:rowOff>
    </xdr:from>
    <xdr:to>
      <xdr:col>11</xdr:col>
      <xdr:colOff>169332</xdr:colOff>
      <xdr:row>19</xdr:row>
      <xdr:rowOff>148166</xdr:rowOff>
    </xdr:to>
    <xdr:graphicFrame macro="">
      <xdr:nvGraphicFramePr>
        <xdr:cNvPr id="108" name="Chart 107">
          <a:extLst>
            <a:ext uri="{FF2B5EF4-FFF2-40B4-BE49-F238E27FC236}">
              <a16:creationId xmlns:a16="http://schemas.microsoft.com/office/drawing/2014/main" id="{C416727B-960D-4691-87E9-62DCF29AC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275167</xdr:colOff>
      <xdr:row>4</xdr:row>
      <xdr:rowOff>63499</xdr:rowOff>
    </xdr:from>
    <xdr:to>
      <xdr:col>14</xdr:col>
      <xdr:colOff>518583</xdr:colOff>
      <xdr:row>19</xdr:row>
      <xdr:rowOff>169333</xdr:rowOff>
    </xdr:to>
    <xdr:graphicFrame macro="">
      <xdr:nvGraphicFramePr>
        <xdr:cNvPr id="109" name="Chart 108">
          <a:extLst>
            <a:ext uri="{FF2B5EF4-FFF2-40B4-BE49-F238E27FC236}">
              <a16:creationId xmlns:a16="http://schemas.microsoft.com/office/drawing/2014/main" id="{4D7C4763-8AF9-43D8-A870-FF531DC7F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564242</xdr:colOff>
      <xdr:row>20</xdr:row>
      <xdr:rowOff>153308</xdr:rowOff>
    </xdr:from>
    <xdr:to>
      <xdr:col>17</xdr:col>
      <xdr:colOff>302</xdr:colOff>
      <xdr:row>34</xdr:row>
      <xdr:rowOff>158750</xdr:rowOff>
    </xdr:to>
    <xdr:graphicFrame macro="">
      <xdr:nvGraphicFramePr>
        <xdr:cNvPr id="46" name="Chart 45">
          <a:extLst>
            <a:ext uri="{FF2B5EF4-FFF2-40B4-BE49-F238E27FC236}">
              <a16:creationId xmlns:a16="http://schemas.microsoft.com/office/drawing/2014/main" id="{0E3EB19F-CDC7-4D83-B914-79EE785BDA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201083</xdr:colOff>
      <xdr:row>20</xdr:row>
      <xdr:rowOff>156635</xdr:rowOff>
    </xdr:from>
    <xdr:to>
      <xdr:col>22</xdr:col>
      <xdr:colOff>31750</xdr:colOff>
      <xdr:row>34</xdr:row>
      <xdr:rowOff>158751</xdr:rowOff>
    </xdr:to>
    <xdr:graphicFrame macro="">
      <xdr:nvGraphicFramePr>
        <xdr:cNvPr id="47" name="Chart 46">
          <a:extLst>
            <a:ext uri="{FF2B5EF4-FFF2-40B4-BE49-F238E27FC236}">
              <a16:creationId xmlns:a16="http://schemas.microsoft.com/office/drawing/2014/main" id="{F736C35C-D10E-45F9-8941-BED6597EC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516465</xdr:colOff>
      <xdr:row>21</xdr:row>
      <xdr:rowOff>169333</xdr:rowOff>
    </xdr:from>
    <xdr:to>
      <xdr:col>4</xdr:col>
      <xdr:colOff>84666</xdr:colOff>
      <xdr:row>28</xdr:row>
      <xdr:rowOff>42333</xdr:rowOff>
    </xdr:to>
    <xdr:sp macro="" textlink="pivots!C4">
      <xdr:nvSpPr>
        <xdr:cNvPr id="49" name="Rectangle 48">
          <a:extLst>
            <a:ext uri="{FF2B5EF4-FFF2-40B4-BE49-F238E27FC236}">
              <a16:creationId xmlns:a16="http://schemas.microsoft.com/office/drawing/2014/main" id="{416913B4-DB61-4F7C-BADA-F8DFF3C1C36D}"/>
            </a:ext>
          </a:extLst>
        </xdr:cNvPr>
        <xdr:cNvSpPr/>
      </xdr:nvSpPr>
      <xdr:spPr>
        <a:xfrm>
          <a:off x="1214965" y="3947583"/>
          <a:ext cx="1600201" cy="1132417"/>
        </a:xfrm>
        <a:prstGeom prst="rect">
          <a:avLst/>
        </a:prstGeom>
        <a:solidFill>
          <a:schemeClr val="accent1">
            <a:alpha val="88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0" i="0" u="none" strike="noStrike">
              <a:solidFill>
                <a:schemeClr val="lt1"/>
              </a:solidFill>
              <a:effectLst/>
              <a:latin typeface="+mn-lt"/>
              <a:ea typeface="+mn-ea"/>
              <a:cs typeface="+mn-cs"/>
            </a:rPr>
            <a:t>3.9</a:t>
          </a:r>
          <a:r>
            <a:rPr lang="en-IN" sz="1400"/>
            <a:t> </a:t>
          </a:r>
          <a:endParaRPr lang="en-US" sz="1400">
            <a:solidFill>
              <a:schemeClr val="bg1"/>
            </a:solidFill>
          </a:endParaRPr>
        </a:p>
      </xdr:txBody>
    </xdr:sp>
    <xdr:clientData/>
  </xdr:twoCellAnchor>
  <xdr:twoCellAnchor>
    <xdr:from>
      <xdr:col>1</xdr:col>
      <xdr:colOff>508000</xdr:colOff>
      <xdr:row>29</xdr:row>
      <xdr:rowOff>0</xdr:rowOff>
    </xdr:from>
    <xdr:to>
      <xdr:col>4</xdr:col>
      <xdr:colOff>37494</xdr:colOff>
      <xdr:row>34</xdr:row>
      <xdr:rowOff>116417</xdr:rowOff>
    </xdr:to>
    <xdr:sp macro="" textlink="pivots!C4">
      <xdr:nvSpPr>
        <xdr:cNvPr id="50" name="Rectangle 49">
          <a:extLst>
            <a:ext uri="{FF2B5EF4-FFF2-40B4-BE49-F238E27FC236}">
              <a16:creationId xmlns:a16="http://schemas.microsoft.com/office/drawing/2014/main" id="{96152281-1876-44AF-B8A7-227AB83E6638}"/>
            </a:ext>
          </a:extLst>
        </xdr:cNvPr>
        <xdr:cNvSpPr/>
      </xdr:nvSpPr>
      <xdr:spPr>
        <a:xfrm>
          <a:off x="1206500" y="5217583"/>
          <a:ext cx="1561494" cy="1016001"/>
        </a:xfrm>
        <a:prstGeom prst="rect">
          <a:avLst/>
        </a:prstGeom>
        <a:solidFill>
          <a:schemeClr val="accent1">
            <a:alpha val="88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a:solidFill>
                <a:schemeClr val="bg1"/>
              </a:solidFill>
            </a:rPr>
            <a:t>307</a:t>
          </a:r>
        </a:p>
      </xdr:txBody>
    </xdr:sp>
    <xdr:clientData/>
  </xdr:twoCellAnchor>
  <xdr:twoCellAnchor editAs="oneCell">
    <xdr:from>
      <xdr:col>2</xdr:col>
      <xdr:colOff>641653</xdr:colOff>
      <xdr:row>24</xdr:row>
      <xdr:rowOff>14513</xdr:rowOff>
    </xdr:from>
    <xdr:to>
      <xdr:col>3</xdr:col>
      <xdr:colOff>592667</xdr:colOff>
      <xdr:row>26</xdr:row>
      <xdr:rowOff>45467</xdr:rowOff>
    </xdr:to>
    <xdr:pic>
      <xdr:nvPicPr>
        <xdr:cNvPr id="51" name="Graphic 50" descr="Rating Star with solid fill">
          <a:extLst>
            <a:ext uri="{FF2B5EF4-FFF2-40B4-BE49-F238E27FC236}">
              <a16:creationId xmlns:a16="http://schemas.microsoft.com/office/drawing/2014/main" id="{FCCF5287-F491-4A74-947A-AC377B82412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038653" y="4332513"/>
          <a:ext cx="617764" cy="390787"/>
        </a:xfrm>
        <a:prstGeom prst="rect">
          <a:avLst/>
        </a:prstGeom>
      </xdr:spPr>
    </xdr:pic>
    <xdr:clientData/>
  </xdr:twoCellAnchor>
  <xdr:twoCellAnchor editAs="oneCell">
    <xdr:from>
      <xdr:col>3</xdr:col>
      <xdr:colOff>204410</xdr:colOff>
      <xdr:row>30</xdr:row>
      <xdr:rowOff>122465</xdr:rowOff>
    </xdr:from>
    <xdr:to>
      <xdr:col>3</xdr:col>
      <xdr:colOff>584124</xdr:colOff>
      <xdr:row>32</xdr:row>
      <xdr:rowOff>151589</xdr:rowOff>
    </xdr:to>
    <xdr:pic>
      <xdr:nvPicPr>
        <xdr:cNvPr id="52" name="Graphic 51" descr="Star-struck face outline with solid fill">
          <a:extLst>
            <a:ext uri="{FF2B5EF4-FFF2-40B4-BE49-F238E27FC236}">
              <a16:creationId xmlns:a16="http://schemas.microsoft.com/office/drawing/2014/main" id="{92852450-AD03-4648-A34E-25AB85AB493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268160" y="5519965"/>
          <a:ext cx="379714" cy="388957"/>
        </a:xfrm>
        <a:prstGeom prst="rect">
          <a:avLst/>
        </a:prstGeom>
      </xdr:spPr>
    </xdr:pic>
    <xdr:clientData/>
  </xdr:twoCellAnchor>
  <xdr:oneCellAnchor>
    <xdr:from>
      <xdr:col>1</xdr:col>
      <xdr:colOff>674310</xdr:colOff>
      <xdr:row>22</xdr:row>
      <xdr:rowOff>123071</xdr:rowOff>
    </xdr:from>
    <xdr:ext cx="1008440" cy="194429"/>
    <xdr:sp macro="" textlink="">
      <xdr:nvSpPr>
        <xdr:cNvPr id="2" name="TextBox 1">
          <a:extLst>
            <a:ext uri="{FF2B5EF4-FFF2-40B4-BE49-F238E27FC236}">
              <a16:creationId xmlns:a16="http://schemas.microsoft.com/office/drawing/2014/main" id="{F86AF3C3-4C6D-423F-8A44-54375D8C4CF0}"/>
            </a:ext>
          </a:extLst>
        </xdr:cNvPr>
        <xdr:cNvSpPr txBox="1"/>
      </xdr:nvSpPr>
      <xdr:spPr>
        <a:xfrm>
          <a:off x="1372810" y="4081238"/>
          <a:ext cx="1008440" cy="194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solidFill>
            </a:rPr>
            <a:t>Avg. rating</a:t>
          </a:r>
        </a:p>
        <a:p>
          <a:endParaRPr lang="en-IN" sz="1100"/>
        </a:p>
      </xdr:txBody>
    </xdr:sp>
    <xdr:clientData/>
  </xdr:oneCellAnchor>
  <xdr:oneCellAnchor>
    <xdr:from>
      <xdr:col>1</xdr:col>
      <xdr:colOff>507999</xdr:colOff>
      <xdr:row>29</xdr:row>
      <xdr:rowOff>74083</xdr:rowOff>
    </xdr:from>
    <xdr:ext cx="1390349" cy="232834"/>
    <xdr:sp macro="" textlink="">
      <xdr:nvSpPr>
        <xdr:cNvPr id="3" name="TextBox 2">
          <a:extLst>
            <a:ext uri="{FF2B5EF4-FFF2-40B4-BE49-F238E27FC236}">
              <a16:creationId xmlns:a16="http://schemas.microsoft.com/office/drawing/2014/main" id="{981F2C05-7CCA-443C-9995-5147875779E5}"/>
            </a:ext>
          </a:extLst>
        </xdr:cNvPr>
        <xdr:cNvSpPr txBox="1"/>
      </xdr:nvSpPr>
      <xdr:spPr>
        <a:xfrm>
          <a:off x="1206499" y="5291666"/>
          <a:ext cx="1390349" cy="23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bg1"/>
              </a:solidFill>
            </a:rPr>
            <a:t>Happy</a:t>
          </a:r>
          <a:r>
            <a:rPr lang="en-IN" sz="1100" baseline="0">
              <a:solidFill>
                <a:schemeClr val="bg1"/>
              </a:solidFill>
            </a:rPr>
            <a:t> customer</a:t>
          </a:r>
        </a:p>
      </xdr:txBody>
    </xdr:sp>
    <xdr:clientData/>
  </xdr:oneCellAnchor>
  <xdr:oneCellAnchor>
    <xdr:from>
      <xdr:col>1</xdr:col>
      <xdr:colOff>674007</xdr:colOff>
      <xdr:row>26</xdr:row>
      <xdr:rowOff>69547</xdr:rowOff>
    </xdr:from>
    <xdr:ext cx="647701" cy="269120"/>
    <xdr:sp macro="" textlink="pivots!D11">
      <xdr:nvSpPr>
        <xdr:cNvPr id="4" name="TextBox 3">
          <a:extLst>
            <a:ext uri="{FF2B5EF4-FFF2-40B4-BE49-F238E27FC236}">
              <a16:creationId xmlns:a16="http://schemas.microsoft.com/office/drawing/2014/main" id="{22829A83-3C85-4ED8-BC2E-13B8B0AC1972}"/>
            </a:ext>
          </a:extLst>
        </xdr:cNvPr>
        <xdr:cNvSpPr txBox="1"/>
      </xdr:nvSpPr>
      <xdr:spPr>
        <a:xfrm>
          <a:off x="1372507" y="4747380"/>
          <a:ext cx="647701" cy="269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EC44258-61AC-4BE1-9D1E-30BA78BF15E2}" type="TxLink">
            <a:rPr lang="en-US" sz="1100" b="0" i="0" u="none" strike="noStrike">
              <a:solidFill>
                <a:srgbClr val="000000"/>
              </a:solidFill>
              <a:latin typeface="Arial"/>
              <a:cs typeface="Arial"/>
            </a:rPr>
            <a:pPr/>
            <a:t>3.9</a:t>
          </a:fld>
          <a:endParaRPr lang="en-IN" sz="1100"/>
        </a:p>
      </xdr:txBody>
    </xdr:sp>
    <xdr:clientData/>
  </xdr:oneCellAnchor>
  <xdr:twoCellAnchor>
    <xdr:from>
      <xdr:col>2</xdr:col>
      <xdr:colOff>76200</xdr:colOff>
      <xdr:row>18</xdr:row>
      <xdr:rowOff>68581</xdr:rowOff>
    </xdr:from>
    <xdr:to>
      <xdr:col>2</xdr:col>
      <xdr:colOff>121919</xdr:colOff>
      <xdr:row>18</xdr:row>
      <xdr:rowOff>114300</xdr:rowOff>
    </xdr:to>
    <xdr:sp macro="" textlink="">
      <xdr:nvSpPr>
        <xdr:cNvPr id="5" name="TextBox 4">
          <a:extLst>
            <a:ext uri="{FF2B5EF4-FFF2-40B4-BE49-F238E27FC236}">
              <a16:creationId xmlns:a16="http://schemas.microsoft.com/office/drawing/2014/main" id="{764C6EA5-981F-443E-B1D0-6C765473DD3D}"/>
            </a:ext>
          </a:extLst>
        </xdr:cNvPr>
        <xdr:cNvSpPr txBox="1"/>
      </xdr:nvSpPr>
      <xdr:spPr>
        <a:xfrm>
          <a:off x="1469571" y="3301638"/>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xdr:col>
      <xdr:colOff>100996</xdr:colOff>
      <xdr:row>33</xdr:row>
      <xdr:rowOff>17237</xdr:rowOff>
    </xdr:from>
    <xdr:ext cx="800099" cy="247346"/>
    <xdr:sp macro="" textlink="pivots!E11">
      <xdr:nvSpPr>
        <xdr:cNvPr id="6" name="TextBox 5">
          <a:extLst>
            <a:ext uri="{FF2B5EF4-FFF2-40B4-BE49-F238E27FC236}">
              <a16:creationId xmlns:a16="http://schemas.microsoft.com/office/drawing/2014/main" id="{705F0F86-7E8F-435D-86F4-443AE913ADBC}"/>
            </a:ext>
          </a:extLst>
        </xdr:cNvPr>
        <xdr:cNvSpPr txBox="1"/>
      </xdr:nvSpPr>
      <xdr:spPr>
        <a:xfrm>
          <a:off x="1497996" y="5954487"/>
          <a:ext cx="800099" cy="24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F985E80-3D6C-4236-9170-D83595A34D6F}" type="TxLink">
            <a:rPr lang="en-US" sz="1100" b="0" i="0" u="none" strike="noStrike">
              <a:solidFill>
                <a:srgbClr val="000000"/>
              </a:solidFill>
              <a:latin typeface="Arial"/>
              <a:cs typeface="Arial"/>
            </a:rPr>
            <a:pPr/>
            <a:t>60</a:t>
          </a:fld>
          <a:endParaRPr lang="en-IN" sz="1100"/>
        </a:p>
      </xdr:txBody>
    </xdr:sp>
    <xdr:clientData/>
  </xdr:oneCellAnchor>
  <xdr:twoCellAnchor>
    <xdr:from>
      <xdr:col>5</xdr:col>
      <xdr:colOff>21771</xdr:colOff>
      <xdr:row>20</xdr:row>
      <xdr:rowOff>125791</xdr:rowOff>
    </xdr:from>
    <xdr:to>
      <xdr:col>9</xdr:col>
      <xdr:colOff>179915</xdr:colOff>
      <xdr:row>34</xdr:row>
      <xdr:rowOff>158750</xdr:rowOff>
    </xdr:to>
    <xdr:graphicFrame macro="">
      <xdr:nvGraphicFramePr>
        <xdr:cNvPr id="57" name="Chart 56">
          <a:extLst>
            <a:ext uri="{FF2B5EF4-FFF2-40B4-BE49-F238E27FC236}">
              <a16:creationId xmlns:a16="http://schemas.microsoft.com/office/drawing/2014/main" id="{7267D83E-825C-411C-ABB0-120BF8DE8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152401</xdr:colOff>
      <xdr:row>20</xdr:row>
      <xdr:rowOff>144234</xdr:rowOff>
    </xdr:from>
    <xdr:to>
      <xdr:col>13</xdr:col>
      <xdr:colOff>317500</xdr:colOff>
      <xdr:row>34</xdr:row>
      <xdr:rowOff>169333</xdr:rowOff>
    </xdr:to>
    <xdr:graphicFrame macro="">
      <xdr:nvGraphicFramePr>
        <xdr:cNvPr id="60" name="Chart 59">
          <a:extLst>
            <a:ext uri="{FF2B5EF4-FFF2-40B4-BE49-F238E27FC236}">
              <a16:creationId xmlns:a16="http://schemas.microsoft.com/office/drawing/2014/main" id="{CF6057F7-0EE1-4FB8-9379-A4B05C432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730251</xdr:colOff>
      <xdr:row>4</xdr:row>
      <xdr:rowOff>52916</xdr:rowOff>
    </xdr:from>
    <xdr:to>
      <xdr:col>18</xdr:col>
      <xdr:colOff>678546</xdr:colOff>
      <xdr:row>19</xdr:row>
      <xdr:rowOff>137280</xdr:rowOff>
    </xdr:to>
    <xdr:graphicFrame macro="">
      <xdr:nvGraphicFramePr>
        <xdr:cNvPr id="56" name="Chart 55">
          <a:extLst>
            <a:ext uri="{FF2B5EF4-FFF2-40B4-BE49-F238E27FC236}">
              <a16:creationId xmlns:a16="http://schemas.microsoft.com/office/drawing/2014/main" id="{0F0D6539-CFE4-4EEC-B54E-009E7811D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504974</xdr:colOff>
      <xdr:row>0</xdr:row>
      <xdr:rowOff>110368</xdr:rowOff>
    </xdr:from>
    <xdr:to>
      <xdr:col>14</xdr:col>
      <xdr:colOff>328083</xdr:colOff>
      <xdr:row>3</xdr:row>
      <xdr:rowOff>74082</xdr:rowOff>
    </xdr:to>
    <xdr:sp macro="" textlink="">
      <xdr:nvSpPr>
        <xdr:cNvPr id="7" name="TextBox 6">
          <a:extLst>
            <a:ext uri="{FF2B5EF4-FFF2-40B4-BE49-F238E27FC236}">
              <a16:creationId xmlns:a16="http://schemas.microsoft.com/office/drawing/2014/main" id="{CAFBCAC7-AE5C-416B-9C32-092F4DFD0406}"/>
            </a:ext>
          </a:extLst>
        </xdr:cNvPr>
        <xdr:cNvSpPr txBox="1"/>
      </xdr:nvSpPr>
      <xdr:spPr>
        <a:xfrm>
          <a:off x="7796891" y="110368"/>
          <a:ext cx="3865942" cy="503464"/>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ysClr val="windowText" lastClr="000000"/>
              </a:solidFill>
            </a:rPr>
            <a:t>CALL CENTRE REPORT 2023</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gesh" refreshedDate="45812.906889699072" backgroundQuery="1" createdVersion="6" refreshedVersion="6" minRefreshableVersion="3" recordCount="0" supportSubquery="1" supportAdvancedDrill="1" xr:uid="{397163A4-C234-4858-BBED-BB7AE9035076}">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sum of purchasse amount]" caption="sum of purchasse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sum of purchasse amount]" caption="sum of purchasse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gesh" refreshedDate="45812.906892013889" backgroundQuery="1" createdVersion="6" refreshedVersion="6" minRefreshableVersion="3" recordCount="0" supportSubquery="1" supportAdvancedDrill="1" xr:uid="{42AF3EBC-1F0A-47AB-AE3C-DF851B52FFDC}">
  <cacheSource type="external" connectionId="1"/>
  <cacheFields count="5">
    <cacheField name="[Measures].[call count]" caption="call count" numFmtId="0" hierarchy="17" level="32767"/>
    <cacheField name="[Measures].[sum of purchasse amount]" caption="sum of purchasse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sum of purchasse amount]" caption="sum of purchasse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gesh" refreshedDate="45812.906894907406" backgroundQuery="1" createdVersion="6" refreshedVersion="6" minRefreshableVersion="3" recordCount="0" supportSubquery="1" supportAdvancedDrill="1" xr:uid="{32476D63-D5C2-4D92-9954-CF1DC6346804}">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sum of purchasse amount]" caption="sum of purchasse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sum of purchasse amount]" caption="sum of purchasse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gesh" refreshedDate="45813.735695717594" backgroundQuery="1" createdVersion="6" refreshedVersion="6" minRefreshableVersion="3" recordCount="0" supportSubquery="1" supportAdvancedDrill="1" xr:uid="{D5018037-B50B-4099-BE3E-56182420615B}">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sum of purchasse amount]" caption="sum of purchass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 refreshedDate="46169.5668568287" backgroundQuery="1" createdVersion="6" refreshedVersion="8" minRefreshableVersion="3" recordCount="0" supportSubquery="1" supportAdvancedDrill="1" xr:uid="{71FD55C2-F8CF-4D59-8466-DA24F98D63B9}">
  <cacheSource type="external" connectionId="1"/>
  <cacheFields count="6">
    <cacheField name="[Measures].[call count]" caption="call count" numFmtId="0" hierarchy="17" level="32767"/>
    <cacheField name="[Measures].[sum of purchasse amount]" caption="sum of purchasse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sum of purchasse amount]" caption="sum of purchasse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 refreshedDate="46169.566857291669" backgroundQuery="1" createdVersion="6" refreshedVersion="8" minRefreshableVersion="3" recordCount="0" supportSubquery="1" supportAdvancedDrill="1" xr:uid="{9BCCE4A4-8F05-43F3-804A-0ED24A346689}">
  <cacheSource type="external" connectionId="1"/>
  <cacheFields count="5">
    <cacheField name="[Measures].[call count]" caption="call count" numFmtId="0" hierarchy="17" level="32767"/>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sum of purchasse amount]" caption="sum of purchass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 refreshedDate="46169.566857754631" backgroundQuery="1" createdVersion="6" refreshedVersion="8" minRefreshableVersion="3" recordCount="0" supportSubquery="1" supportAdvancedDrill="1" xr:uid="{FCE61D01-4694-491D-A8BC-EA59EA1A53C5}">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sum of purchasse amount]" caption="sum of purchass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 refreshedDate="46169.566858333332" backgroundQuery="1" createdVersion="6" refreshedVersion="8" minRefreshableVersion="3" recordCount="0" supportSubquery="1" supportAdvancedDrill="1" xr:uid="{325724FD-6B90-4F69-B9D1-7DD35F4F043A}">
  <cacheSource type="external" connectionId="1"/>
  <cacheFields count="1">
    <cacheField name="[calls].[Representative].[Representative]" caption="Representative" numFmtId="0" hierarchy="3" level="1">
      <sharedItems count="1">
        <s v="R03"/>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sum of purchasse amount]" caption="sum of purchass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 refreshedDate="46169.566858796294" backgroundQuery="1" createdVersion="6" refreshedVersion="8" minRefreshableVersion="3" recordCount="0" supportSubquery="1" supportAdvancedDrill="1" xr:uid="{88F2DBC0-5C66-4386-ABC3-1D51DF597DCE}">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sum of purchasse amount]" caption="sum of purchass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 refreshedDate="46169.566859375002" backgroundQuery="1" createdVersion="6" refreshedVersion="8" minRefreshableVersion="3" recordCount="0" supportSubquery="1" supportAdvancedDrill="1" xr:uid="{05E1E5EF-FFD0-453D-9A17-7AEC1BBC431C}">
  <cacheSource type="external" connectionId="1"/>
  <cacheFields count="4">
    <cacheField name="[Measures].[call count]" caption="call count" numFmtId="0" hierarchy="17" level="32767"/>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sum of purchasse amount]" caption="sum of purchass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gesh" refreshedDate="45812.906870833336" backgroundQuery="1" createdVersion="3" refreshedVersion="6" minRefreshableVersion="3" recordCount="0" supportSubquery="1" supportAdvancedDrill="1" xr:uid="{7B3B05C5-2A6C-455C-9279-8A34229D7EC0}">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sum of purchasse amount]" caption="sum of purchasse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19778768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6245C2-BF78-49C2-A807-99794F1764E2}" name="SELECTED REP." cacheId="41" applyNumberFormats="0" applyBorderFormats="0" applyFontFormats="0" applyPatternFormats="0" applyAlignmentFormats="0" applyWidthHeightFormats="1" dataCaption="Values" updatedVersion="8" minRefreshableVersion="3" useAutoFormatting="1" subtotalHiddenItems="1" rowGrandTotals="0" itemPrintTitles="1" createdVersion="6" indent="0" outline="1" outlineData="1" multipleFieldFilters="0">
  <location ref="A56:A5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21">
      <pivotArea dataOnly="0" labelOnly="1" fieldPosition="0">
        <references count="1">
          <reference field="0" count="0"/>
        </references>
      </pivotArea>
    </format>
    <format dxfId="20">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F403F2-8E0A-4388-B058-6DF8EBBE5E41}" name="PivotTable1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66:D7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12">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2">
          <reference field="4294967294" count="1" selected="0">
            <x v="0"/>
          </reference>
          <reference field="1" count="1" selected="0">
            <x v="0"/>
          </reference>
        </references>
      </pivotArea>
    </chartFormat>
    <chartFormat chart="8" format="5" series="1">
      <pivotArea type="data" outline="0" fieldPosition="0">
        <references count="2">
          <reference field="4294967294" count="1" selected="0">
            <x v="0"/>
          </reference>
          <reference field="1" count="1" selected="0">
            <x v="1"/>
          </reference>
        </references>
      </pivotArea>
    </chartFormat>
    <chartFormat chart="10" format="0" series="1">
      <pivotArea type="data" outline="0" fieldPosition="0">
        <references count="2">
          <reference field="4294967294" count="1" selected="0">
            <x v="0"/>
          </reference>
          <reference field="1" count="1" selected="0">
            <x v="0"/>
          </reference>
        </references>
      </pivotArea>
    </chartFormat>
    <chartFormat chart="10" format="1" series="1">
      <pivotArea type="data" outline="0" fieldPosition="0">
        <references count="2">
          <reference field="4294967294" count="1" selected="0">
            <x v="0"/>
          </reference>
          <reference field="1" count="1" selected="0">
            <x v="1"/>
          </reference>
        </references>
      </pivotArea>
    </chartFormat>
    <chartFormat chart="10" format="2">
      <pivotArea type="data" outline="0" fieldPosition="0">
        <references count="3">
          <reference field="4294967294" count="1" selected="0">
            <x v="0"/>
          </reference>
          <reference field="0" count="1" selected="0">
            <x v="2"/>
          </reference>
          <reference field="1" count="1" selected="0">
            <x v="0"/>
          </reference>
        </references>
      </pivotArea>
    </chartFormat>
    <chartFormat chart="10" format="3">
      <pivotArea type="data" outline="0" fieldPosition="0">
        <references count="3">
          <reference field="4294967294" count="1" selected="0">
            <x v="0"/>
          </reference>
          <reference field="0" count="1" selected="0">
            <x v="0"/>
          </reference>
          <reference field="1" count="1" selected="0">
            <x v="0"/>
          </reference>
        </references>
      </pivotArea>
    </chartFormat>
    <chartFormat chart="10" format="4">
      <pivotArea type="data" outline="0" fieldPosition="0">
        <references count="3">
          <reference field="4294967294" count="1" selected="0">
            <x v="0"/>
          </reference>
          <reference field="0" count="1" selected="0">
            <x v="1"/>
          </reference>
          <reference field="1" count="1" selected="0">
            <x v="0"/>
          </reference>
        </references>
      </pivotArea>
    </chartFormat>
    <chartFormat chart="10" format="5">
      <pivotArea type="data" outline="0" fieldPosition="0">
        <references count="3">
          <reference field="4294967294" count="1" selected="0">
            <x v="0"/>
          </reference>
          <reference field="0" count="1" selected="0">
            <x v="0"/>
          </reference>
          <reference field="1" count="1" selected="0">
            <x v="1"/>
          </reference>
        </references>
      </pivotArea>
    </chartFormat>
    <chartFormat chart="10" format="6">
      <pivotArea type="data" outline="0" fieldPosition="0">
        <references count="3">
          <reference field="4294967294" count="1" selected="0">
            <x v="0"/>
          </reference>
          <reference field="0" count="1" selected="0">
            <x v="1"/>
          </reference>
          <reference field="1" count="1" selected="0">
            <x v="1"/>
          </reference>
        </references>
      </pivotArea>
    </chartFormat>
    <chartFormat chart="10" format="7">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2A3CF2-E302-4278-A536-EBAF442E4002}" name="revenue analysis" cacheId="2"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3">
  <location ref="A84:G10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name="sum of purchasing amount" fld="3" subtotal="count" baseField="0" baseItem="0"/>
  </dataFields>
  <formats count="6">
    <format dxfId="27">
      <pivotArea collapsedLevelsAreSubtotals="1" fieldPosition="0">
        <references count="2">
          <reference field="1" count="1" selected="0">
            <x v="0"/>
          </reference>
          <reference field="2" count="4">
            <x v="0"/>
            <x v="1"/>
            <x v="2"/>
            <x v="3"/>
          </reference>
        </references>
      </pivotArea>
    </format>
    <format dxfId="26">
      <pivotArea collapsedLevelsAreSubtotals="1" fieldPosition="0">
        <references count="1">
          <reference field="1" count="1">
            <x v="1"/>
          </reference>
        </references>
      </pivotArea>
    </format>
    <format dxfId="25">
      <pivotArea collapsedLevelsAreSubtotals="1" fieldPosition="0">
        <references count="2">
          <reference field="1" count="1" selected="0">
            <x v="1"/>
          </reference>
          <reference field="2" count="6">
            <x v="4"/>
            <x v="5"/>
            <x v="6"/>
            <x v="7"/>
            <x v="8"/>
            <x v="9"/>
          </reference>
        </references>
      </pivotArea>
    </format>
    <format dxfId="24">
      <pivotArea collapsedLevelsAreSubtotals="1" fieldPosition="0">
        <references count="1">
          <reference field="1" count="1">
            <x v="2"/>
          </reference>
        </references>
      </pivotArea>
    </format>
    <format dxfId="23">
      <pivotArea collapsedLevelsAreSubtotals="1" fieldPosition="0">
        <references count="2">
          <reference field="1" count="1" selected="0">
            <x v="2"/>
          </reference>
          <reference field="2" count="5">
            <x v="10"/>
            <x v="11"/>
            <x v="12"/>
            <x v="13"/>
            <x v="14"/>
          </reference>
        </references>
      </pivotArea>
    </format>
    <format dxfId="22">
      <pivotArea grandRow="1" outline="0" collapsedLevelsAreSubtotals="1" fieldPosition="0"/>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sum of purchasing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EE1092-B3F4-4ED5-90C6-C75D4B596A93}" name="rep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7:C4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1">
    <format dxfId="28">
      <pivotArea collapsedLevelsAreSubtotals="1" fieldPosition="0">
        <references count="2">
          <reference field="4294967294" count="1" selected="0">
            <x v="1"/>
          </reference>
          <reference field="0" count="0"/>
        </references>
      </pivotArea>
    </format>
  </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C2784F-F730-4B25-8AFD-D37A3FE2A989}" name="WEEKLY TREND" cacheId="38"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9">
  <location ref="E19:F2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1">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1"/>
          </reference>
        </references>
      </pivotArea>
    </chartFormat>
    <chartFormat chart="6" format="2">
      <pivotArea type="data" outline="0" fieldPosition="0">
        <references count="2">
          <reference field="4294967294" count="1" selected="0">
            <x v="0"/>
          </reference>
          <reference field="1" count="1" selected="0">
            <x v="2"/>
          </reference>
        </references>
      </pivotArea>
    </chartFormat>
    <chartFormat chart="6" format="3">
      <pivotArea type="data" outline="0" fieldPosition="0">
        <references count="2">
          <reference field="4294967294" count="1" selected="0">
            <x v="0"/>
          </reference>
          <reference field="1" count="1" selected="0">
            <x v="3"/>
          </reference>
        </references>
      </pivotArea>
    </chartFormat>
    <chartFormat chart="6" format="4">
      <pivotArea type="data" outline="0" fieldPosition="0">
        <references count="2">
          <reference field="4294967294" count="1" selected="0">
            <x v="0"/>
          </reference>
          <reference field="1" count="1" selected="0">
            <x v="4"/>
          </reference>
        </references>
      </pivotArea>
    </chartFormat>
    <chartFormat chart="6" format="5">
      <pivotArea type="data" outline="0" fieldPosition="0">
        <references count="2">
          <reference field="4294967294" count="1" selected="0">
            <x v="0"/>
          </reference>
          <reference field="1" count="1" selected="0">
            <x v="5"/>
          </reference>
        </references>
      </pivotArea>
    </chartFormat>
    <chartFormat chart="6" format="6">
      <pivotArea type="data" outline="0" fieldPosition="0">
        <references count="2">
          <reference field="4294967294" count="1" selected="0">
            <x v="0"/>
          </reference>
          <reference field="1" count="1" selected="0">
            <x v="6"/>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B76B94-1627-4085-B0DA-FBA3BC8CE711}" name="rep satisfaction" cacheId="44"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13">
  <location ref="B74:C81"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D7DE4E-E649-47E3-BEC9-A54C238E2470}" name="MONTHLY TREND" cacheId="35"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6">
  <location ref="A19:C32" firstHeaderRow="0" firstDataRow="1" firstDataCol="1"/>
  <pivotFields count="5">
    <pivotField dataField="1" subtotalTop="0" showAll="0" defaultSubtotal="0"/>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0" subtotal="count" baseField="0" baseItem="0" numFmtId="1"/>
    <dataField name="call count2" fld="4" subtotal="count" baseField="2" baseItem="0">
      <extLst>
        <ext xmlns:x14="http://schemas.microsoft.com/office/spreadsheetml/2009/9/main" uri="{E15A36E0-9728-4e99-A89B-3F7291B0FE68}">
          <x14:dataField sourceField="0" uniqueName="[__Xl2].[Measures].[call count]"/>
        </ext>
      </extLst>
    </dataField>
  </dataFields>
  <chartFormats count="6">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2" format="8">
      <pivotArea type="data" outline="0" fieldPosition="0">
        <references count="2">
          <reference field="4294967294" count="1" selected="0">
            <x v="0"/>
          </reference>
          <reference field="2" count="1" selected="0">
            <x v="5"/>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s>
  <pivotHierarchies count="29">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1B5F94-F0F9-4709-93DE-8D61FE85F50D}" name="PivotTable1" cacheId="47"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chartFormat="15">
  <location ref="A108:B121" firstHeaderRow="1" firstDataRow="1" firstDataCol="1"/>
  <pivotFields count="4">
    <pivotField dataField="1" subtotalTop="0" showAll="0" defaultSubtotal="0"/>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fld="0" subtotal="count" baseField="0" baseItem="0" numFmtId="1"/>
  </dataFields>
  <chartFormats count="45">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2" format="8">
      <pivotArea type="data" outline="0" fieldPosition="0">
        <references count="2">
          <reference field="4294967294" count="1" selected="0">
            <x v="0"/>
          </reference>
          <reference field="2" count="1" selected="0">
            <x v="5"/>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4"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2" count="1" selected="0">
            <x v="0"/>
          </reference>
        </references>
      </pivotArea>
    </chartFormat>
    <chartFormat chart="12" format="16">
      <pivotArea type="data" outline="0" fieldPosition="0">
        <references count="2">
          <reference field="4294967294" count="1" selected="0">
            <x v="0"/>
          </reference>
          <reference field="2" count="1" selected="0">
            <x v="1"/>
          </reference>
        </references>
      </pivotArea>
    </chartFormat>
    <chartFormat chart="12" format="17">
      <pivotArea type="data" outline="0" fieldPosition="0">
        <references count="2">
          <reference field="4294967294" count="1" selected="0">
            <x v="0"/>
          </reference>
          <reference field="2" count="1" selected="0">
            <x v="2"/>
          </reference>
        </references>
      </pivotArea>
    </chartFormat>
    <chartFormat chart="12" format="18">
      <pivotArea type="data" outline="0" fieldPosition="0">
        <references count="2">
          <reference field="4294967294" count="1" selected="0">
            <x v="0"/>
          </reference>
          <reference field="2" count="1" selected="0">
            <x v="3"/>
          </reference>
        </references>
      </pivotArea>
    </chartFormat>
    <chartFormat chart="12" format="19">
      <pivotArea type="data" outline="0" fieldPosition="0">
        <references count="2">
          <reference field="4294967294" count="1" selected="0">
            <x v="0"/>
          </reference>
          <reference field="2" count="1" selected="0">
            <x v="4"/>
          </reference>
        </references>
      </pivotArea>
    </chartFormat>
    <chartFormat chart="12" format="20">
      <pivotArea type="data" outline="0" fieldPosition="0">
        <references count="2">
          <reference field="4294967294" count="1" selected="0">
            <x v="0"/>
          </reference>
          <reference field="2" count="1" selected="0">
            <x v="5"/>
          </reference>
        </references>
      </pivotArea>
    </chartFormat>
    <chartFormat chart="12" format="21">
      <pivotArea type="data" outline="0" fieldPosition="0">
        <references count="2">
          <reference field="4294967294" count="1" selected="0">
            <x v="0"/>
          </reference>
          <reference field="2" count="1" selected="0">
            <x v="6"/>
          </reference>
        </references>
      </pivotArea>
    </chartFormat>
    <chartFormat chart="12" format="22">
      <pivotArea type="data" outline="0" fieldPosition="0">
        <references count="2">
          <reference field="4294967294" count="1" selected="0">
            <x v="0"/>
          </reference>
          <reference field="2" count="1" selected="0">
            <x v="7"/>
          </reference>
        </references>
      </pivotArea>
    </chartFormat>
    <chartFormat chart="12" format="23">
      <pivotArea type="data" outline="0" fieldPosition="0">
        <references count="2">
          <reference field="4294967294" count="1" selected="0">
            <x v="0"/>
          </reference>
          <reference field="2" count="1" selected="0">
            <x v="8"/>
          </reference>
        </references>
      </pivotArea>
    </chartFormat>
    <chartFormat chart="12" format="24">
      <pivotArea type="data" outline="0" fieldPosition="0">
        <references count="2">
          <reference field="4294967294" count="1" selected="0">
            <x v="0"/>
          </reference>
          <reference field="2" count="1" selected="0">
            <x v="9"/>
          </reference>
        </references>
      </pivotArea>
    </chartFormat>
    <chartFormat chart="12" format="25">
      <pivotArea type="data" outline="0" fieldPosition="0">
        <references count="2">
          <reference field="4294967294" count="1" selected="0">
            <x v="0"/>
          </reference>
          <reference field="2" count="1" selected="0">
            <x v="10"/>
          </reference>
        </references>
      </pivotArea>
    </chartFormat>
    <chartFormat chart="12" format="26">
      <pivotArea type="data" outline="0" fieldPosition="0">
        <references count="2">
          <reference field="4294967294" count="1" selected="0">
            <x v="0"/>
          </reference>
          <reference field="2" count="1" selected="0">
            <x v="11"/>
          </reference>
        </references>
      </pivotArea>
    </chartFormat>
    <chartFormat chart="14" format="14"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2" count="1" selected="0">
            <x v="0"/>
          </reference>
        </references>
      </pivotArea>
    </chartFormat>
    <chartFormat chart="14" format="16">
      <pivotArea type="data" outline="0" fieldPosition="0">
        <references count="2">
          <reference field="4294967294" count="1" selected="0">
            <x v="0"/>
          </reference>
          <reference field="2" count="1" selected="0">
            <x v="1"/>
          </reference>
        </references>
      </pivotArea>
    </chartFormat>
    <chartFormat chart="14" format="17">
      <pivotArea type="data" outline="0" fieldPosition="0">
        <references count="2">
          <reference field="4294967294" count="1" selected="0">
            <x v="0"/>
          </reference>
          <reference field="2" count="1" selected="0">
            <x v="2"/>
          </reference>
        </references>
      </pivotArea>
    </chartFormat>
    <chartFormat chart="14" format="18">
      <pivotArea type="data" outline="0" fieldPosition="0">
        <references count="2">
          <reference field="4294967294" count="1" selected="0">
            <x v="0"/>
          </reference>
          <reference field="2" count="1" selected="0">
            <x v="3"/>
          </reference>
        </references>
      </pivotArea>
    </chartFormat>
    <chartFormat chart="14" format="19">
      <pivotArea type="data" outline="0" fieldPosition="0">
        <references count="2">
          <reference field="4294967294" count="1" selected="0">
            <x v="0"/>
          </reference>
          <reference field="2" count="1" selected="0">
            <x v="4"/>
          </reference>
        </references>
      </pivotArea>
    </chartFormat>
    <chartFormat chart="14" format="20">
      <pivotArea type="data" outline="0" fieldPosition="0">
        <references count="2">
          <reference field="4294967294" count="1" selected="0">
            <x v="0"/>
          </reference>
          <reference field="2" count="1" selected="0">
            <x v="5"/>
          </reference>
        </references>
      </pivotArea>
    </chartFormat>
    <chartFormat chart="14" format="21">
      <pivotArea type="data" outline="0" fieldPosition="0">
        <references count="2">
          <reference field="4294967294" count="1" selected="0">
            <x v="0"/>
          </reference>
          <reference field="2" count="1" selected="0">
            <x v="6"/>
          </reference>
        </references>
      </pivotArea>
    </chartFormat>
    <chartFormat chart="14" format="22">
      <pivotArea type="data" outline="0" fieldPosition="0">
        <references count="2">
          <reference field="4294967294" count="1" selected="0">
            <x v="0"/>
          </reference>
          <reference field="2" count="1" selected="0">
            <x v="7"/>
          </reference>
        </references>
      </pivotArea>
    </chartFormat>
    <chartFormat chart="14" format="23">
      <pivotArea type="data" outline="0" fieldPosition="0">
        <references count="2">
          <reference field="4294967294" count="1" selected="0">
            <x v="0"/>
          </reference>
          <reference field="2" count="1" selected="0">
            <x v="8"/>
          </reference>
        </references>
      </pivotArea>
    </chartFormat>
    <chartFormat chart="14" format="24">
      <pivotArea type="data" outline="0" fieldPosition="0">
        <references count="2">
          <reference field="4294967294" count="1" selected="0">
            <x v="0"/>
          </reference>
          <reference field="2" count="1" selected="0">
            <x v="9"/>
          </reference>
        </references>
      </pivotArea>
    </chartFormat>
    <chartFormat chart="14" format="25">
      <pivotArea type="data" outline="0" fieldPosition="0">
        <references count="2">
          <reference field="4294967294" count="1" selected="0">
            <x v="0"/>
          </reference>
          <reference field="2" count="1" selected="0">
            <x v="10"/>
          </reference>
        </references>
      </pivotArea>
    </chartFormat>
    <chartFormat chart="14" format="26">
      <pivotArea type="data" outline="0" fieldPosition="0">
        <references count="2">
          <reference field="4294967294" count="1" selected="0">
            <x v="0"/>
          </reference>
          <reference field="2" count="1" selected="0">
            <x v="11"/>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 chart="10" format="3">
      <pivotArea type="data" outline="0" fieldPosition="0">
        <references count="2">
          <reference field="4294967294" count="1" selected="0">
            <x v="0"/>
          </reference>
          <reference field="2" count="1" selected="0">
            <x v="2"/>
          </reference>
        </references>
      </pivotArea>
    </chartFormat>
    <chartFormat chart="10" format="4">
      <pivotArea type="data" outline="0" fieldPosition="0">
        <references count="2">
          <reference field="4294967294" count="1" selected="0">
            <x v="0"/>
          </reference>
          <reference field="2" count="1" selected="0">
            <x v="3"/>
          </reference>
        </references>
      </pivotArea>
    </chartFormat>
    <chartFormat chart="10" format="5">
      <pivotArea type="data" outline="0" fieldPosition="0">
        <references count="2">
          <reference field="4294967294" count="1" selected="0">
            <x v="0"/>
          </reference>
          <reference field="2" count="1" selected="0">
            <x v="4"/>
          </reference>
        </references>
      </pivotArea>
    </chartFormat>
    <chartFormat chart="10" format="6">
      <pivotArea type="data" outline="0" fieldPosition="0">
        <references count="2">
          <reference field="4294967294" count="1" selected="0">
            <x v="0"/>
          </reference>
          <reference field="2" count="1" selected="0">
            <x v="5"/>
          </reference>
        </references>
      </pivotArea>
    </chartFormat>
    <chartFormat chart="10" format="7">
      <pivotArea type="data" outline="0" fieldPosition="0">
        <references count="2">
          <reference field="4294967294" count="1" selected="0">
            <x v="0"/>
          </reference>
          <reference field="2" count="1" selected="0">
            <x v="6"/>
          </reference>
        </references>
      </pivotArea>
    </chartFormat>
    <chartFormat chart="10" format="8">
      <pivotArea type="data" outline="0" fieldPosition="0">
        <references count="2">
          <reference field="4294967294" count="1" selected="0">
            <x v="0"/>
          </reference>
          <reference field="2" count="1" selected="0">
            <x v="7"/>
          </reference>
        </references>
      </pivotArea>
    </chartFormat>
    <chartFormat chart="10" format="9">
      <pivotArea type="data" outline="0" fieldPosition="0">
        <references count="2">
          <reference field="4294967294" count="1" selected="0">
            <x v="0"/>
          </reference>
          <reference field="2" count="1" selected="0">
            <x v="8"/>
          </reference>
        </references>
      </pivotArea>
    </chartFormat>
    <chartFormat chart="10" format="10">
      <pivotArea type="data" outline="0" fieldPosition="0">
        <references count="2">
          <reference field="4294967294" count="1" selected="0">
            <x v="0"/>
          </reference>
          <reference field="2" count="1" selected="0">
            <x v="9"/>
          </reference>
        </references>
      </pivotArea>
    </chartFormat>
    <chartFormat chart="10" format="11">
      <pivotArea type="data" outline="0" fieldPosition="0">
        <references count="2">
          <reference field="4294967294" count="1" selected="0">
            <x v="0"/>
          </reference>
          <reference field="2" count="1" selected="0">
            <x v="10"/>
          </reference>
        </references>
      </pivotArea>
    </chartFormat>
    <chartFormat chart="10" format="12">
      <pivotArea type="data" outline="0" fieldPosition="0">
        <references count="2">
          <reference field="4294967294" count="1" selected="0">
            <x v="0"/>
          </reference>
          <reference field="2" count="1" selected="0">
            <x v="11"/>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C40930-326A-47BF-843F-0B91969E55E4}" name="rep pivot" cacheId="32" applyNumberFormats="0" applyBorderFormats="0" applyFontFormats="0" applyPatternFormats="0" applyAlignmentFormats="0" applyWidthHeightFormats="1" dataCaption="Values" updatedVersion="8" minRefreshableVersion="3" useAutoFormatting="1" subtotalHiddenItems="1" itemPrintTitles="1" createdVersion="6"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
    <dataField name="total amount" fld="1" subtotal="count" baseField="0" baseItem="1" numFmtId="165"/>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7ED6C-D598-4454-A874-5CDC1C7DD0B1}" name="summary pivot"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numFmtId="1"/>
    <dataField name="total amount" fld="1" subtotal="count" baseField="0" baseItem="1" numFmtId="165"/>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B279C0E-E8F5-437A-BBDB-4861C985D5D6}" sourceName="[calls].[Representative]">
  <pivotTables>
    <pivotTable tabId="7" name="rep pivot"/>
    <pivotTable tabId="7" name="MONTHLY TREND"/>
    <pivotTable tabId="7" name="WEEKLY TREND"/>
    <pivotTable tabId="7" name="SELECTED REP."/>
    <pivotTable tabId="7" name="rep satisfaction"/>
    <pivotTable tabId="7" name="PivotTable1"/>
  </pivotTables>
  <data>
    <olap pivotCacheId="1197787680">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084DA33-27C2-4DF9-9535-ECAEAF590C88}" cache="Slicer_Representative" caption="Representative" level="1"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5EDE148A-C585-4D1C-AEA5-1BEBE2193E3E}" cache="Slicer_Representative" caption="Representative" level="1"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9"/>
    <tableColumn id="5" xr3:uid="{5A35565E-8707-4DED-AD15-A0669D67B382}" name="Date of Call" dataDxfId="18"/>
    <tableColumn id="6" xr3:uid="{F2E4F158-B41F-47BC-8DF8-DFCADFEE4E40}" name="Purchase Amount"/>
    <tableColumn id="7" xr3:uid="{04B291B5-47BD-4F78-8FD8-D1551CCA6BD9}" name="Satisfaction Rating"/>
    <tableColumn id="8" xr3:uid="{6E4123C0-0B17-43B8-A142-A1E540CE974C}" name="FY" dataDxfId="17">
      <calculatedColumnFormula>IF(MONTH(calls[[#This Row],[Date of Call]])&lt;=6, YEAR(calls[[#This Row],[Date of Call]]), YEAR(calls[[#This Row],[Date of Call]])+1)</calculatedColumnFormula>
    </tableColumn>
    <tableColumn id="9" xr3:uid="{199FA271-5E9B-46CE-9BC6-2801F92CD17E}" name="Day of week" dataDxfId="16">
      <calculatedColumnFormula>TEXT(calls[[#This Row],[Date of Call]],"DDDD")</calculatedColumnFormula>
    </tableColumn>
    <tableColumn id="10" xr3:uid="{328CDB09-95B8-4D5E-9ED9-EF0D363735A1}" name="Duration Bucket" dataDxfId="1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3" headerRowBorderDxfId="12" tableBorderDxfId="11" totalsRowBorderDxfId="10">
  <autoFilter ref="Q3:T18" xr:uid="{27158F51-A707-4171-8A04-81FB0AABCBA5}"/>
  <tableColumns count="4">
    <tableColumn id="1" xr3:uid="{02688061-6A8C-4E23-B7FF-D00CD8B58CAC}" name="Customer ID" dataDxfId="9"/>
    <tableColumn id="2" xr3:uid="{771678B6-DB44-426B-9874-B4E421A440D5}" name="Gedner" dataDxfId="8"/>
    <tableColumn id="3" xr3:uid="{B0D41C62-587E-494D-B49A-603F2C05F8D3}" name="Age" dataDxfId="7"/>
    <tableColumn id="4" xr3:uid="{663F92D6-FE31-4D81-9E01-8D066DDC8A88}" name="City"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Custom 1">
      <a:majorFont>
        <a:latin typeface="Arial"/>
        <a:ea typeface=""/>
        <a:cs typeface=""/>
      </a:majorFont>
      <a:minorFont>
        <a:latin typeface="Aria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0C494-77B6-4BB8-A635-CDA7A77B60D4}">
  <dimension ref="A3:I122"/>
  <sheetViews>
    <sheetView workbookViewId="0">
      <selection activeCell="G108" sqref="G108"/>
    </sheetView>
  </sheetViews>
  <sheetFormatPr defaultRowHeight="13.8" x14ac:dyDescent="0.25"/>
  <cols>
    <col min="1" max="1" width="13.09765625" bestFit="1" customWidth="1"/>
    <col min="2" max="3" width="9.296875" bestFit="1" customWidth="1"/>
    <col min="4" max="4" width="9.59765625" bestFit="1" customWidth="1"/>
    <col min="5" max="5" width="13.09765625" bestFit="1" customWidth="1"/>
    <col min="6" max="6" width="9.296875" bestFit="1" customWidth="1"/>
    <col min="7" max="7" width="11.19921875" bestFit="1" customWidth="1"/>
    <col min="8" max="8" width="15.796875" customWidth="1"/>
  </cols>
  <sheetData>
    <row r="3" spans="1:5" x14ac:dyDescent="0.25">
      <c r="A3" t="s">
        <v>1042</v>
      </c>
      <c r="B3" t="s">
        <v>1043</v>
      </c>
      <c r="C3" t="s">
        <v>1044</v>
      </c>
      <c r="D3" t="s">
        <v>1045</v>
      </c>
      <c r="E3" t="s">
        <v>1046</v>
      </c>
    </row>
    <row r="4" spans="1:5" x14ac:dyDescent="0.25">
      <c r="A4" s="21">
        <v>1000</v>
      </c>
      <c r="B4" s="22">
        <v>96623</v>
      </c>
      <c r="C4" s="21">
        <v>89850</v>
      </c>
      <c r="D4" s="23">
        <v>3.8854000000000033</v>
      </c>
      <c r="E4" s="21">
        <v>307</v>
      </c>
    </row>
    <row r="6" spans="1:5" x14ac:dyDescent="0.25">
      <c r="A6" t="s">
        <v>1081</v>
      </c>
    </row>
    <row r="10" spans="1:5" x14ac:dyDescent="0.25">
      <c r="A10" t="s">
        <v>1042</v>
      </c>
      <c r="B10" t="s">
        <v>1043</v>
      </c>
      <c r="C10" t="s">
        <v>1044</v>
      </c>
      <c r="D10" t="s">
        <v>1045</v>
      </c>
      <c r="E10" t="s">
        <v>1046</v>
      </c>
    </row>
    <row r="11" spans="1:5" x14ac:dyDescent="0.25">
      <c r="A11" s="21">
        <v>207</v>
      </c>
      <c r="B11" s="22">
        <v>20872</v>
      </c>
      <c r="C11" s="21">
        <v>17700</v>
      </c>
      <c r="D11" s="23">
        <v>3.8589371980676304</v>
      </c>
      <c r="E11" s="21">
        <v>60</v>
      </c>
    </row>
    <row r="13" spans="1:5" x14ac:dyDescent="0.25">
      <c r="A13" t="s">
        <v>1080</v>
      </c>
    </row>
    <row r="19" spans="1:8" x14ac:dyDescent="0.25">
      <c r="A19" s="24" t="s">
        <v>1054</v>
      </c>
      <c r="B19" t="s">
        <v>1042</v>
      </c>
      <c r="C19" t="s">
        <v>1068</v>
      </c>
      <c r="E19" s="24" t="s">
        <v>1054</v>
      </c>
      <c r="F19" t="s">
        <v>1042</v>
      </c>
      <c r="H19" s="24"/>
    </row>
    <row r="20" spans="1:8" x14ac:dyDescent="0.25">
      <c r="A20" s="25" t="s">
        <v>1056</v>
      </c>
      <c r="B20" s="21">
        <v>13</v>
      </c>
      <c r="C20" s="21">
        <v>13</v>
      </c>
      <c r="E20" s="25" t="s">
        <v>1047</v>
      </c>
      <c r="F20" s="21">
        <v>30</v>
      </c>
    </row>
    <row r="21" spans="1:8" x14ac:dyDescent="0.25">
      <c r="A21" s="25" t="s">
        <v>1057</v>
      </c>
      <c r="B21" s="21">
        <v>13</v>
      </c>
      <c r="C21" s="21">
        <v>13</v>
      </c>
      <c r="E21" s="25" t="s">
        <v>1048</v>
      </c>
      <c r="F21" s="21">
        <v>34</v>
      </c>
    </row>
    <row r="22" spans="1:8" x14ac:dyDescent="0.25">
      <c r="A22" s="25" t="s">
        <v>1058</v>
      </c>
      <c r="B22" s="21">
        <v>28</v>
      </c>
      <c r="C22" s="21">
        <v>28</v>
      </c>
      <c r="E22" s="25" t="s">
        <v>1049</v>
      </c>
      <c r="F22" s="21">
        <v>26</v>
      </c>
    </row>
    <row r="23" spans="1:8" x14ac:dyDescent="0.25">
      <c r="A23" s="25" t="s">
        <v>1059</v>
      </c>
      <c r="B23" s="21">
        <v>24</v>
      </c>
      <c r="C23" s="21">
        <v>24</v>
      </c>
      <c r="E23" s="25" t="s">
        <v>1050</v>
      </c>
      <c r="F23" s="21">
        <v>38</v>
      </c>
    </row>
    <row r="24" spans="1:8" x14ac:dyDescent="0.25">
      <c r="A24" s="25" t="s">
        <v>1060</v>
      </c>
      <c r="B24" s="21">
        <v>23</v>
      </c>
      <c r="C24" s="21">
        <v>23</v>
      </c>
      <c r="E24" s="25" t="s">
        <v>1051</v>
      </c>
      <c r="F24" s="21">
        <v>27</v>
      </c>
    </row>
    <row r="25" spans="1:8" x14ac:dyDescent="0.25">
      <c r="A25" s="25" t="s">
        <v>1061</v>
      </c>
      <c r="B25" s="21">
        <v>17</v>
      </c>
      <c r="C25" s="21">
        <v>17</v>
      </c>
      <c r="E25" s="25" t="s">
        <v>1052</v>
      </c>
      <c r="F25" s="21">
        <v>27</v>
      </c>
    </row>
    <row r="26" spans="1:8" x14ac:dyDescent="0.25">
      <c r="A26" s="25" t="s">
        <v>1062</v>
      </c>
      <c r="B26" s="21">
        <v>11</v>
      </c>
      <c r="C26" s="21">
        <v>11</v>
      </c>
      <c r="E26" s="25" t="s">
        <v>1053</v>
      </c>
      <c r="F26" s="21">
        <v>25</v>
      </c>
    </row>
    <row r="27" spans="1:8" x14ac:dyDescent="0.25">
      <c r="A27" s="25" t="s">
        <v>1063</v>
      </c>
      <c r="B27" s="21">
        <v>11</v>
      </c>
      <c r="C27" s="21">
        <v>11</v>
      </c>
      <c r="E27" s="25" t="s">
        <v>1055</v>
      </c>
      <c r="F27" s="21">
        <v>207</v>
      </c>
    </row>
    <row r="28" spans="1:8" x14ac:dyDescent="0.25">
      <c r="A28" s="25" t="s">
        <v>1064</v>
      </c>
      <c r="B28" s="21">
        <v>14</v>
      </c>
      <c r="C28" s="21">
        <v>14</v>
      </c>
      <c r="E28" s="25" t="s">
        <v>1077</v>
      </c>
    </row>
    <row r="29" spans="1:8" x14ac:dyDescent="0.25">
      <c r="A29" s="25" t="s">
        <v>1065</v>
      </c>
      <c r="B29" s="21">
        <v>30</v>
      </c>
      <c r="C29" s="21">
        <v>30</v>
      </c>
    </row>
    <row r="30" spans="1:8" x14ac:dyDescent="0.25">
      <c r="A30" s="25" t="s">
        <v>1066</v>
      </c>
      <c r="B30" s="21">
        <v>14</v>
      </c>
      <c r="C30" s="21">
        <v>14</v>
      </c>
    </row>
    <row r="31" spans="1:8" x14ac:dyDescent="0.25">
      <c r="A31" s="25" t="s">
        <v>1067</v>
      </c>
      <c r="B31" s="21">
        <v>9</v>
      </c>
      <c r="C31" s="21">
        <v>9</v>
      </c>
    </row>
    <row r="32" spans="1:8" x14ac:dyDescent="0.25">
      <c r="A32" s="25" t="s">
        <v>1055</v>
      </c>
      <c r="B32" s="21">
        <v>207</v>
      </c>
      <c r="C32" s="21">
        <v>207</v>
      </c>
    </row>
    <row r="33" spans="1:9" x14ac:dyDescent="0.25">
      <c r="A33" s="25" t="s">
        <v>1078</v>
      </c>
    </row>
    <row r="35" spans="1:9" x14ac:dyDescent="0.25">
      <c r="E35" t="s">
        <v>1070</v>
      </c>
      <c r="H35" t="s">
        <v>1076</v>
      </c>
      <c r="I35" t="str">
        <f>A57</f>
        <v>R03</v>
      </c>
    </row>
    <row r="37" spans="1:9" x14ac:dyDescent="0.25">
      <c r="A37" s="24" t="s">
        <v>1054</v>
      </c>
      <c r="B37" t="s">
        <v>1042</v>
      </c>
      <c r="C37" t="s">
        <v>1069</v>
      </c>
      <c r="E37" t="s">
        <v>1071</v>
      </c>
      <c r="F37" t="s">
        <v>1072</v>
      </c>
      <c r="G37" t="s">
        <v>1073</v>
      </c>
      <c r="H37" t="s">
        <v>1074</v>
      </c>
      <c r="I37" t="s">
        <v>1075</v>
      </c>
    </row>
    <row r="38" spans="1:9" x14ac:dyDescent="0.25">
      <c r="A38" s="25" t="s">
        <v>11</v>
      </c>
      <c r="B38" s="21">
        <v>189</v>
      </c>
      <c r="C38" s="27">
        <v>18415</v>
      </c>
      <c r="E38" s="25" t="s">
        <v>11</v>
      </c>
      <c r="F38" s="21">
        <v>189</v>
      </c>
      <c r="G38" s="27">
        <v>18415</v>
      </c>
      <c r="H38" t="e">
        <f>IF(E38=I35,F38,NA())</f>
        <v>#N/A</v>
      </c>
      <c r="I38" t="e">
        <f>IF(E38=I35,G38,NA())</f>
        <v>#N/A</v>
      </c>
    </row>
    <row r="39" spans="1:9" x14ac:dyDescent="0.25">
      <c r="A39" s="25" t="s">
        <v>9</v>
      </c>
      <c r="B39" s="21">
        <v>218</v>
      </c>
      <c r="C39" s="27">
        <v>20581</v>
      </c>
      <c r="E39" s="25" t="s">
        <v>9</v>
      </c>
      <c r="F39" s="21">
        <v>218</v>
      </c>
      <c r="G39" s="27">
        <v>20581</v>
      </c>
      <c r="H39" t="e">
        <f>IF(E39=I35,F39,NA())</f>
        <v>#N/A</v>
      </c>
      <c r="I39" t="e">
        <f>IF(E39=I35,G39,NA())</f>
        <v>#N/A</v>
      </c>
    </row>
    <row r="40" spans="1:9" x14ac:dyDescent="0.25">
      <c r="A40" s="25" t="s">
        <v>6</v>
      </c>
      <c r="B40" s="21">
        <v>207</v>
      </c>
      <c r="C40" s="27">
        <v>20872</v>
      </c>
      <c r="E40" s="25" t="s">
        <v>6</v>
      </c>
      <c r="F40" s="21">
        <v>207</v>
      </c>
      <c r="G40" s="27">
        <v>20872</v>
      </c>
      <c r="H40">
        <f>IF(E40=I35,F40,NA())</f>
        <v>207</v>
      </c>
      <c r="I40">
        <f>IF(E40=I35,G40,NA())</f>
        <v>20872</v>
      </c>
    </row>
    <row r="41" spans="1:9" x14ac:dyDescent="0.25">
      <c r="A41" s="25" t="s">
        <v>13</v>
      </c>
      <c r="B41" s="21">
        <v>186</v>
      </c>
      <c r="C41" s="27">
        <v>16651</v>
      </c>
      <c r="E41" s="25" t="s">
        <v>13</v>
      </c>
      <c r="F41" s="21">
        <v>186</v>
      </c>
      <c r="G41" s="27">
        <v>16651</v>
      </c>
      <c r="H41" t="e">
        <f>IF(E41=I35,F41,NA())</f>
        <v>#N/A</v>
      </c>
      <c r="I41" t="e">
        <f>IF(E41=I35,G41,NA())</f>
        <v>#N/A</v>
      </c>
    </row>
    <row r="42" spans="1:9" x14ac:dyDescent="0.25">
      <c r="A42" s="25" t="s">
        <v>10</v>
      </c>
      <c r="B42" s="21">
        <v>200</v>
      </c>
      <c r="C42" s="27">
        <v>20104</v>
      </c>
      <c r="E42" s="25" t="s">
        <v>10</v>
      </c>
      <c r="F42" s="21">
        <v>200</v>
      </c>
      <c r="G42" s="27">
        <v>20104</v>
      </c>
      <c r="H42" t="e">
        <f>IF(E42=I35,F42,NA())</f>
        <v>#N/A</v>
      </c>
      <c r="I42" t="e">
        <f>IF(E42=I35,G42,NA())</f>
        <v>#N/A</v>
      </c>
    </row>
    <row r="43" spans="1:9" x14ac:dyDescent="0.25">
      <c r="A43" s="25" t="s">
        <v>1055</v>
      </c>
      <c r="B43" s="21">
        <v>1000</v>
      </c>
      <c r="C43" s="21">
        <v>96623</v>
      </c>
    </row>
    <row r="44" spans="1:9" x14ac:dyDescent="0.25">
      <c r="A44" s="25" t="s">
        <v>1079</v>
      </c>
    </row>
    <row r="56" spans="1:6" x14ac:dyDescent="0.25">
      <c r="A56" s="24" t="s">
        <v>1054</v>
      </c>
      <c r="D56" s="24"/>
      <c r="E56" s="24"/>
      <c r="F56" s="24"/>
    </row>
    <row r="57" spans="1:6" x14ac:dyDescent="0.25">
      <c r="A57" s="28" t="s">
        <v>6</v>
      </c>
    </row>
    <row r="66" spans="1:9" x14ac:dyDescent="0.25">
      <c r="A66" s="24" t="s">
        <v>1042</v>
      </c>
      <c r="B66" s="24" t="s">
        <v>1082</v>
      </c>
    </row>
    <row r="67" spans="1:9" x14ac:dyDescent="0.25">
      <c r="A67" s="24" t="s">
        <v>1054</v>
      </c>
      <c r="B67" t="s">
        <v>999</v>
      </c>
      <c r="C67" t="s">
        <v>998</v>
      </c>
      <c r="D67" t="s">
        <v>1055</v>
      </c>
    </row>
    <row r="68" spans="1:9" x14ac:dyDescent="0.25">
      <c r="A68" s="25" t="s">
        <v>1002</v>
      </c>
      <c r="B68" s="21">
        <v>144</v>
      </c>
      <c r="C68" s="21">
        <v>132</v>
      </c>
      <c r="D68" s="21">
        <v>276</v>
      </c>
    </row>
    <row r="69" spans="1:9" x14ac:dyDescent="0.25">
      <c r="A69" s="25" t="s">
        <v>1001</v>
      </c>
      <c r="B69" s="21">
        <v>326</v>
      </c>
      <c r="C69" s="21">
        <v>63</v>
      </c>
      <c r="D69" s="21">
        <v>389</v>
      </c>
    </row>
    <row r="70" spans="1:9" x14ac:dyDescent="0.25">
      <c r="A70" s="25" t="s">
        <v>1000</v>
      </c>
      <c r="B70" s="21">
        <v>129</v>
      </c>
      <c r="C70" s="21">
        <v>206</v>
      </c>
      <c r="D70" s="21">
        <v>335</v>
      </c>
    </row>
    <row r="71" spans="1:9" x14ac:dyDescent="0.25">
      <c r="A71" s="25" t="s">
        <v>1055</v>
      </c>
      <c r="B71" s="21">
        <v>599</v>
      </c>
      <c r="C71" s="21">
        <v>401</v>
      </c>
      <c r="D71" s="21">
        <v>1000</v>
      </c>
    </row>
    <row r="74" spans="1:9" x14ac:dyDescent="0.25">
      <c r="B74" s="24" t="s">
        <v>1054</v>
      </c>
      <c r="C74" t="s">
        <v>1042</v>
      </c>
    </row>
    <row r="75" spans="1:9" x14ac:dyDescent="0.25">
      <c r="B75" s="25">
        <v>0</v>
      </c>
      <c r="C75" s="21">
        <v>1</v>
      </c>
      <c r="F75" s="24"/>
      <c r="G75" s="24"/>
      <c r="H75" s="24"/>
      <c r="I75" s="24"/>
    </row>
    <row r="76" spans="1:9" x14ac:dyDescent="0.25">
      <c r="B76" s="25">
        <v>1</v>
      </c>
      <c r="C76" s="21">
        <v>1</v>
      </c>
    </row>
    <row r="77" spans="1:9" x14ac:dyDescent="0.25">
      <c r="B77" s="25">
        <v>2</v>
      </c>
      <c r="C77" s="21">
        <v>11</v>
      </c>
    </row>
    <row r="78" spans="1:9" x14ac:dyDescent="0.25">
      <c r="B78" s="25">
        <v>3</v>
      </c>
      <c r="C78" s="21">
        <v>46</v>
      </c>
    </row>
    <row r="79" spans="1:9" x14ac:dyDescent="0.25">
      <c r="B79" s="25">
        <v>4</v>
      </c>
      <c r="C79" s="21">
        <v>88</v>
      </c>
    </row>
    <row r="80" spans="1:9" x14ac:dyDescent="0.25">
      <c r="B80" s="25">
        <v>5</v>
      </c>
      <c r="C80" s="21">
        <v>60</v>
      </c>
    </row>
    <row r="81" spans="1:9" x14ac:dyDescent="0.25">
      <c r="B81" s="25" t="s">
        <v>1055</v>
      </c>
      <c r="C81" s="21">
        <v>207</v>
      </c>
    </row>
    <row r="82" spans="1:9" x14ac:dyDescent="0.25">
      <c r="B82" t="s">
        <v>1083</v>
      </c>
    </row>
    <row r="84" spans="1:9" x14ac:dyDescent="0.25">
      <c r="A84" s="24" t="s">
        <v>1085</v>
      </c>
      <c r="B84" s="24" t="s">
        <v>1082</v>
      </c>
      <c r="H84" s="24"/>
      <c r="I84" s="24"/>
    </row>
    <row r="85" spans="1:9" x14ac:dyDescent="0.25">
      <c r="A85" s="24" t="s">
        <v>1054</v>
      </c>
      <c r="B85" t="s">
        <v>11</v>
      </c>
      <c r="C85" t="s">
        <v>9</v>
      </c>
      <c r="D85" t="s">
        <v>6</v>
      </c>
      <c r="E85" t="s">
        <v>13</v>
      </c>
      <c r="F85" t="s">
        <v>10</v>
      </c>
      <c r="G85" t="s">
        <v>1055</v>
      </c>
    </row>
    <row r="86" spans="1:9" x14ac:dyDescent="0.25">
      <c r="A86" s="25" t="s">
        <v>1002</v>
      </c>
    </row>
    <row r="87" spans="1:9" x14ac:dyDescent="0.25">
      <c r="A87" s="29" t="s">
        <v>20</v>
      </c>
      <c r="B87" s="26">
        <v>891</v>
      </c>
      <c r="C87" s="26">
        <v>1332</v>
      </c>
      <c r="D87" s="26">
        <v>1282</v>
      </c>
      <c r="E87" s="26">
        <v>739</v>
      </c>
      <c r="F87" s="26">
        <v>560</v>
      </c>
      <c r="G87" s="26">
        <v>4804</v>
      </c>
    </row>
    <row r="88" spans="1:9" x14ac:dyDescent="0.25">
      <c r="A88" s="29" t="s">
        <v>12</v>
      </c>
      <c r="B88" s="26">
        <v>1991</v>
      </c>
      <c r="C88" s="26">
        <v>1886</v>
      </c>
      <c r="D88" s="26">
        <v>1206</v>
      </c>
      <c r="E88" s="26">
        <v>884</v>
      </c>
      <c r="F88" s="26">
        <v>1722</v>
      </c>
      <c r="G88" s="26">
        <v>7689</v>
      </c>
    </row>
    <row r="89" spans="1:9" x14ac:dyDescent="0.25">
      <c r="A89" s="29" t="s">
        <v>8</v>
      </c>
      <c r="B89" s="26">
        <v>1163</v>
      </c>
      <c r="C89" s="26">
        <v>1180</v>
      </c>
      <c r="D89" s="26">
        <v>1616</v>
      </c>
      <c r="E89" s="26">
        <v>1043</v>
      </c>
      <c r="F89" s="26">
        <v>1747</v>
      </c>
      <c r="G89" s="26">
        <v>6749</v>
      </c>
    </row>
    <row r="90" spans="1:9" x14ac:dyDescent="0.25">
      <c r="A90" s="29" t="s">
        <v>16</v>
      </c>
      <c r="B90" s="26">
        <v>1438</v>
      </c>
      <c r="C90" s="26">
        <v>1616</v>
      </c>
      <c r="D90" s="26">
        <v>866</v>
      </c>
      <c r="E90" s="26">
        <v>829</v>
      </c>
      <c r="F90" s="26">
        <v>2070</v>
      </c>
      <c r="G90" s="26">
        <v>6819</v>
      </c>
    </row>
    <row r="91" spans="1:9" x14ac:dyDescent="0.25">
      <c r="A91" s="25" t="s">
        <v>1001</v>
      </c>
    </row>
    <row r="92" spans="1:9" x14ac:dyDescent="0.25">
      <c r="A92" s="29" t="s">
        <v>24</v>
      </c>
      <c r="B92" s="26">
        <v>1233</v>
      </c>
      <c r="C92" s="26">
        <v>223</v>
      </c>
      <c r="D92" s="26">
        <v>1680</v>
      </c>
      <c r="E92" s="26">
        <v>990</v>
      </c>
      <c r="F92" s="26">
        <v>1508</v>
      </c>
      <c r="G92" s="26">
        <v>5634</v>
      </c>
    </row>
    <row r="93" spans="1:9" x14ac:dyDescent="0.25">
      <c r="A93" s="29" t="s">
        <v>15</v>
      </c>
      <c r="B93" s="26">
        <v>1598</v>
      </c>
      <c r="C93" s="26">
        <v>1907</v>
      </c>
      <c r="D93" s="26">
        <v>869</v>
      </c>
      <c r="E93" s="26">
        <v>1426</v>
      </c>
      <c r="F93" s="26">
        <v>1416</v>
      </c>
      <c r="G93" s="26">
        <v>7216</v>
      </c>
    </row>
    <row r="94" spans="1:9" x14ac:dyDescent="0.25">
      <c r="A94" s="29" t="s">
        <v>5</v>
      </c>
      <c r="B94" s="26">
        <v>900</v>
      </c>
      <c r="C94" s="26">
        <v>1016</v>
      </c>
      <c r="D94" s="26">
        <v>960</v>
      </c>
      <c r="E94" s="26">
        <v>940</v>
      </c>
      <c r="F94" s="26">
        <v>1193</v>
      </c>
      <c r="G94" s="26">
        <v>5009</v>
      </c>
    </row>
    <row r="95" spans="1:9" x14ac:dyDescent="0.25">
      <c r="A95" s="29" t="s">
        <v>18</v>
      </c>
      <c r="B95" s="26">
        <v>900</v>
      </c>
      <c r="C95" s="26">
        <v>1470</v>
      </c>
      <c r="D95" s="26">
        <v>1617</v>
      </c>
      <c r="E95" s="26">
        <v>1314</v>
      </c>
      <c r="F95" s="26">
        <v>941</v>
      </c>
      <c r="G95" s="26">
        <v>6242</v>
      </c>
    </row>
    <row r="96" spans="1:9" x14ac:dyDescent="0.25">
      <c r="A96" s="29" t="s">
        <v>14</v>
      </c>
      <c r="B96" s="26">
        <v>1255</v>
      </c>
      <c r="C96" s="26">
        <v>516</v>
      </c>
      <c r="D96" s="26">
        <v>1874</v>
      </c>
      <c r="E96" s="26">
        <v>1863</v>
      </c>
      <c r="F96" s="26">
        <v>1722</v>
      </c>
      <c r="G96" s="26">
        <v>7230</v>
      </c>
    </row>
    <row r="97" spans="1:7" x14ac:dyDescent="0.25">
      <c r="A97" s="29" t="s">
        <v>19</v>
      </c>
      <c r="B97" s="26">
        <v>1138</v>
      </c>
      <c r="C97" s="26">
        <v>1898</v>
      </c>
      <c r="D97" s="26">
        <v>1482</v>
      </c>
      <c r="E97" s="26">
        <v>846</v>
      </c>
      <c r="F97" s="26">
        <v>1154</v>
      </c>
      <c r="G97" s="26">
        <v>6518</v>
      </c>
    </row>
    <row r="98" spans="1:7" x14ac:dyDescent="0.25">
      <c r="A98" s="25" t="s">
        <v>1000</v>
      </c>
    </row>
    <row r="99" spans="1:7" x14ac:dyDescent="0.25">
      <c r="A99" s="29" t="s">
        <v>17</v>
      </c>
      <c r="B99" s="26">
        <v>1655</v>
      </c>
      <c r="C99" s="26">
        <v>805</v>
      </c>
      <c r="D99" s="26">
        <v>2263</v>
      </c>
      <c r="E99" s="26">
        <v>987</v>
      </c>
      <c r="F99" s="26">
        <v>1075</v>
      </c>
      <c r="G99" s="26">
        <v>6785</v>
      </c>
    </row>
    <row r="100" spans="1:7" x14ac:dyDescent="0.25">
      <c r="A100" s="29" t="s">
        <v>23</v>
      </c>
      <c r="B100" s="26">
        <v>1104</v>
      </c>
      <c r="C100" s="26">
        <v>2280</v>
      </c>
      <c r="D100" s="26">
        <v>1445</v>
      </c>
      <c r="E100" s="26">
        <v>1722</v>
      </c>
      <c r="F100" s="26">
        <v>1196</v>
      </c>
      <c r="G100" s="26">
        <v>7747</v>
      </c>
    </row>
    <row r="101" spans="1:7" x14ac:dyDescent="0.25">
      <c r="A101" s="29" t="s">
        <v>7</v>
      </c>
      <c r="B101" s="26">
        <v>372</v>
      </c>
      <c r="C101" s="26">
        <v>1818</v>
      </c>
      <c r="D101" s="26">
        <v>1346</v>
      </c>
      <c r="E101" s="26">
        <v>1156</v>
      </c>
      <c r="F101" s="26">
        <v>1484</v>
      </c>
      <c r="G101" s="26">
        <v>6176</v>
      </c>
    </row>
    <row r="102" spans="1:7" x14ac:dyDescent="0.25">
      <c r="A102" s="29" t="s">
        <v>22</v>
      </c>
      <c r="B102" s="26">
        <v>1415</v>
      </c>
      <c r="C102" s="26">
        <v>1271</v>
      </c>
      <c r="D102" s="26">
        <v>1214</v>
      </c>
      <c r="E102" s="26">
        <v>1135</v>
      </c>
      <c r="F102" s="26">
        <v>1566</v>
      </c>
      <c r="G102" s="26">
        <v>6601</v>
      </c>
    </row>
    <row r="103" spans="1:7" x14ac:dyDescent="0.25">
      <c r="A103" s="29" t="s">
        <v>21</v>
      </c>
      <c r="B103" s="26">
        <v>1362</v>
      </c>
      <c r="C103" s="26">
        <v>1363</v>
      </c>
      <c r="D103" s="26">
        <v>1152</v>
      </c>
      <c r="E103" s="26">
        <v>777</v>
      </c>
      <c r="F103" s="26">
        <v>750</v>
      </c>
      <c r="G103" s="26">
        <v>5404</v>
      </c>
    </row>
    <row r="106" spans="1:7" x14ac:dyDescent="0.25">
      <c r="A106" s="29" t="s">
        <v>1084</v>
      </c>
    </row>
    <row r="108" spans="1:7" x14ac:dyDescent="0.25">
      <c r="A108" s="24" t="s">
        <v>1054</v>
      </c>
      <c r="B108" t="s">
        <v>1042</v>
      </c>
      <c r="D108" s="24"/>
      <c r="E108" s="24"/>
      <c r="F108" s="24"/>
      <c r="G108" s="24"/>
    </row>
    <row r="109" spans="1:7" x14ac:dyDescent="0.25">
      <c r="A109" s="25" t="s">
        <v>1056</v>
      </c>
      <c r="B109" s="21">
        <v>13</v>
      </c>
    </row>
    <row r="110" spans="1:7" x14ac:dyDescent="0.25">
      <c r="A110" s="25" t="s">
        <v>1057</v>
      </c>
      <c r="B110" s="21">
        <v>13</v>
      </c>
    </row>
    <row r="111" spans="1:7" x14ac:dyDescent="0.25">
      <c r="A111" s="25" t="s">
        <v>1058</v>
      </c>
      <c r="B111" s="21">
        <v>28</v>
      </c>
    </row>
    <row r="112" spans="1:7" x14ac:dyDescent="0.25">
      <c r="A112" s="25" t="s">
        <v>1059</v>
      </c>
      <c r="B112" s="21">
        <v>24</v>
      </c>
    </row>
    <row r="113" spans="1:2" x14ac:dyDescent="0.25">
      <c r="A113" s="25" t="s">
        <v>1060</v>
      </c>
      <c r="B113" s="21">
        <v>23</v>
      </c>
    </row>
    <row r="114" spans="1:2" x14ac:dyDescent="0.25">
      <c r="A114" s="25" t="s">
        <v>1061</v>
      </c>
      <c r="B114" s="21">
        <v>17</v>
      </c>
    </row>
    <row r="115" spans="1:2" x14ac:dyDescent="0.25">
      <c r="A115" s="25" t="s">
        <v>1062</v>
      </c>
      <c r="B115" s="21">
        <v>11</v>
      </c>
    </row>
    <row r="116" spans="1:2" x14ac:dyDescent="0.25">
      <c r="A116" s="25" t="s">
        <v>1063</v>
      </c>
      <c r="B116" s="21">
        <v>11</v>
      </c>
    </row>
    <row r="117" spans="1:2" x14ac:dyDescent="0.25">
      <c r="A117" s="25" t="s">
        <v>1064</v>
      </c>
      <c r="B117" s="21">
        <v>14</v>
      </c>
    </row>
    <row r="118" spans="1:2" x14ac:dyDescent="0.25">
      <c r="A118" s="25" t="s">
        <v>1065</v>
      </c>
      <c r="B118" s="21">
        <v>30</v>
      </c>
    </row>
    <row r="119" spans="1:2" x14ac:dyDescent="0.25">
      <c r="A119" s="25" t="s">
        <v>1066</v>
      </c>
      <c r="B119" s="21">
        <v>14</v>
      </c>
    </row>
    <row r="120" spans="1:2" x14ac:dyDescent="0.25">
      <c r="A120" s="25" t="s">
        <v>1067</v>
      </c>
      <c r="B120" s="21">
        <v>9</v>
      </c>
    </row>
    <row r="121" spans="1:2" x14ac:dyDescent="0.25">
      <c r="A121" s="25" t="s">
        <v>1055</v>
      </c>
      <c r="B121" s="21">
        <v>207</v>
      </c>
    </row>
    <row r="122" spans="1:2" x14ac:dyDescent="0.25">
      <c r="A122" s="25" t="s">
        <v>1078</v>
      </c>
    </row>
  </sheetData>
  <pageMargins left="0.7" right="0.7" top="0.75" bottom="0.75" header="0.3" footer="0.3"/>
  <pageSetup orientation="portrait" horizontalDpi="200" verticalDpi="200"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K1" zoomScale="115" zoomScaleNormal="115" workbookViewId="0">
      <selection activeCell="R7" sqref="R7"/>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x14ac:dyDescent="0.2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D2:I12"/>
  <sheetViews>
    <sheetView zoomScale="115" zoomScaleNormal="115" workbookViewId="0">
      <selection activeCell="F3" sqref="F3:F7"/>
    </sheetView>
  </sheetViews>
  <sheetFormatPr defaultRowHeight="13.8" x14ac:dyDescent="0.25"/>
  <cols>
    <col min="5" max="5" width="10.8984375" customWidth="1"/>
    <col min="6" max="6" width="17.69921875" customWidth="1"/>
  </cols>
  <sheetData>
    <row r="2" spans="4:9" x14ac:dyDescent="0.25">
      <c r="E2" t="s">
        <v>1040</v>
      </c>
      <c r="F2" t="s">
        <v>1041</v>
      </c>
    </row>
    <row r="3" spans="4:9" ht="25.5" customHeight="1" x14ac:dyDescent="0.3">
      <c r="E3" t="s">
        <v>11</v>
      </c>
      <c r="F3" t="e">
        <v>#VALUE!</v>
      </c>
      <c r="H3" s="31" t="s">
        <v>1040</v>
      </c>
      <c r="I3" s="31" t="s">
        <v>1041</v>
      </c>
    </row>
    <row r="4" spans="4:9" ht="25.5" customHeight="1" x14ac:dyDescent="0.3">
      <c r="E4" t="s">
        <v>9</v>
      </c>
      <c r="F4" t="e">
        <v>#VALUE!</v>
      </c>
      <c r="G4" s="31"/>
      <c r="H4" s="33" t="s">
        <v>11</v>
      </c>
      <c r="I4" s="31" t="s">
        <v>1086</v>
      </c>
    </row>
    <row r="5" spans="4:9" ht="25.5" customHeight="1" x14ac:dyDescent="0.3">
      <c r="E5" t="s">
        <v>6</v>
      </c>
      <c r="F5" t="e">
        <v>#VALUE!</v>
      </c>
      <c r="G5" s="31"/>
      <c r="H5" s="33"/>
      <c r="I5" s="31"/>
    </row>
    <row r="6" spans="4:9" ht="25.5" customHeight="1" x14ac:dyDescent="0.3">
      <c r="E6" t="s">
        <v>13</v>
      </c>
      <c r="F6" t="e">
        <v>#VALUE!</v>
      </c>
      <c r="G6" s="31"/>
      <c r="H6" s="33"/>
      <c r="I6" s="31" t="s">
        <v>1087</v>
      </c>
    </row>
    <row r="7" spans="4:9" ht="25.5" customHeight="1" x14ac:dyDescent="0.3">
      <c r="E7" t="s">
        <v>10</v>
      </c>
      <c r="F7" t="e">
        <v>#VALUE!</v>
      </c>
      <c r="H7" s="33" t="s">
        <v>9</v>
      </c>
      <c r="I7" s="31" t="s">
        <v>1088</v>
      </c>
    </row>
    <row r="8" spans="4:9" ht="14.4" x14ac:dyDescent="0.3">
      <c r="H8" s="33"/>
      <c r="I8" s="31"/>
    </row>
    <row r="9" spans="4:9" ht="14.4" x14ac:dyDescent="0.3">
      <c r="F9" s="31" t="s">
        <v>1086</v>
      </c>
      <c r="H9" s="33"/>
      <c r="I9" s="31" t="s">
        <v>1087</v>
      </c>
    </row>
    <row r="10" spans="4:9" ht="14.4" x14ac:dyDescent="0.3">
      <c r="D10" s="31" t="s">
        <v>1088</v>
      </c>
      <c r="F10" s="31"/>
      <c r="H10" s="31" t="s">
        <v>6</v>
      </c>
      <c r="I10" s="31" t="s">
        <v>1089</v>
      </c>
    </row>
    <row r="11" spans="4:9" ht="14.4" x14ac:dyDescent="0.3">
      <c r="D11" s="31"/>
      <c r="F11" s="31" t="s">
        <v>1087</v>
      </c>
      <c r="H11" s="31" t="s">
        <v>13</v>
      </c>
      <c r="I11" s="31" t="s">
        <v>1090</v>
      </c>
    </row>
    <row r="12" spans="4:9" ht="14.4" x14ac:dyDescent="0.3">
      <c r="D12" s="31" t="s">
        <v>1087</v>
      </c>
      <c r="H12" s="31" t="s">
        <v>10</v>
      </c>
      <c r="I12" s="31" t="s">
        <v>1091</v>
      </c>
    </row>
  </sheetData>
  <mergeCells count="2">
    <mergeCell ref="H4:H6"/>
    <mergeCell ref="H7:H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E2A39-6954-45DA-A6F3-D8A1ACE1616A}">
  <dimension ref="A1:AH60"/>
  <sheetViews>
    <sheetView tabSelected="1" zoomScale="72" zoomScaleNormal="72" workbookViewId="0">
      <selection activeCell="Y18" sqref="Y18"/>
    </sheetView>
  </sheetViews>
  <sheetFormatPr defaultRowHeight="13.8" x14ac:dyDescent="0.25"/>
  <cols>
    <col min="1" max="2" width="9.09765625" customWidth="1"/>
    <col min="7" max="7" width="11.296875" customWidth="1"/>
    <col min="8" max="8" width="10.296875" customWidth="1"/>
    <col min="9" max="9" width="10" customWidth="1"/>
    <col min="10" max="10" width="10.8984375" customWidth="1"/>
    <col min="11" max="11" width="10.19921875" customWidth="1"/>
    <col min="12" max="12" width="10.5" customWidth="1"/>
    <col min="13" max="13" width="8.19921875" customWidth="1"/>
    <col min="14" max="14" width="24.09765625" bestFit="1" customWidth="1"/>
    <col min="15" max="15" width="16.3984375" bestFit="1" customWidth="1"/>
    <col min="16" max="19" width="9.8984375" bestFit="1" customWidth="1"/>
    <col min="20" max="20" width="11.19921875" bestFit="1" customWidth="1"/>
  </cols>
  <sheetData>
    <row r="1" spans="1:34"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row>
    <row r="2" spans="1:34"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row>
    <row r="3" spans="1:34"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row>
    <row r="4" spans="1:34"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row>
    <row r="5" spans="1:34"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row>
    <row r="6" spans="1:34"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row>
    <row r="7" spans="1:34"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row>
    <row r="8" spans="1:34"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row>
    <row r="9" spans="1:34"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row>
    <row r="10" spans="1:34"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row>
    <row r="11" spans="1:34"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row>
    <row r="12" spans="1:34"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row>
    <row r="13" spans="1:34"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row>
    <row r="14" spans="1:34" x14ac:dyDescent="0.25">
      <c r="A14" s="20"/>
      <c r="B14" s="20"/>
      <c r="C14" s="20"/>
      <c r="D14" s="20"/>
      <c r="E14" s="20"/>
      <c r="F14" s="20"/>
      <c r="G14" s="20"/>
      <c r="H14" s="20"/>
      <c r="I14" s="20"/>
      <c r="J14" s="20"/>
      <c r="K14" s="20"/>
      <c r="L14" s="32"/>
      <c r="M14" s="32"/>
      <c r="N14" s="32"/>
      <c r="O14" s="32"/>
      <c r="P14" s="32"/>
      <c r="Q14" s="32"/>
      <c r="R14" s="32"/>
      <c r="S14" s="32"/>
      <c r="T14" s="32"/>
      <c r="U14" s="32"/>
      <c r="V14" s="32"/>
      <c r="W14" s="32"/>
      <c r="X14" s="32"/>
      <c r="Y14" s="32"/>
      <c r="Z14" s="32"/>
      <c r="AA14" s="32"/>
      <c r="AB14" s="32"/>
      <c r="AC14" s="32"/>
      <c r="AD14" s="32"/>
      <c r="AE14" s="20"/>
      <c r="AF14" s="20"/>
    </row>
    <row r="15" spans="1:34" x14ac:dyDescent="0.25">
      <c r="A15" s="20"/>
      <c r="B15" s="20"/>
      <c r="C15" s="20"/>
      <c r="D15" s="20"/>
      <c r="E15" s="20"/>
      <c r="F15" s="30"/>
      <c r="G15" s="30"/>
      <c r="H15" s="30"/>
      <c r="I15" s="30"/>
      <c r="J15" s="30"/>
      <c r="K15" s="30"/>
      <c r="L15" s="32"/>
      <c r="M15" s="32"/>
      <c r="N15" s="32"/>
      <c r="O15" s="32"/>
      <c r="P15" s="32"/>
      <c r="Q15" s="32"/>
      <c r="R15" s="32"/>
      <c r="S15" s="32"/>
      <c r="T15" s="32"/>
      <c r="U15" s="32"/>
      <c r="V15" s="32"/>
      <c r="W15" s="32"/>
      <c r="X15" s="32"/>
      <c r="Y15" s="32"/>
      <c r="Z15" s="32"/>
      <c r="AA15" s="32"/>
      <c r="AB15" s="32"/>
      <c r="AC15" s="32"/>
      <c r="AD15" s="32"/>
      <c r="AE15" s="20"/>
      <c r="AF15" s="20"/>
    </row>
    <row r="16" spans="1:34" x14ac:dyDescent="0.25">
      <c r="A16" s="20"/>
      <c r="B16" s="20"/>
      <c r="C16" s="20"/>
      <c r="D16" s="20"/>
      <c r="E16" s="20"/>
      <c r="F16" s="30"/>
      <c r="G16" s="30"/>
      <c r="H16" s="30"/>
      <c r="I16" s="30"/>
      <c r="J16" s="30"/>
      <c r="K16" s="30"/>
      <c r="L16" s="32"/>
      <c r="M16" s="32"/>
      <c r="N16" s="32"/>
      <c r="O16" s="32"/>
      <c r="P16" s="32"/>
      <c r="Q16" s="32"/>
      <c r="R16" s="32"/>
      <c r="S16" s="32"/>
      <c r="T16" s="32"/>
      <c r="U16" s="32"/>
      <c r="V16" s="32"/>
      <c r="W16" s="32"/>
      <c r="X16" s="32"/>
      <c r="Y16" s="32"/>
      <c r="Z16" s="32"/>
      <c r="AA16" s="32"/>
      <c r="AB16" s="32"/>
      <c r="AC16" s="32"/>
      <c r="AD16" s="32"/>
      <c r="AE16" s="20"/>
      <c r="AF16" s="20"/>
    </row>
    <row r="17" spans="1:32" x14ac:dyDescent="0.25">
      <c r="A17" s="20"/>
      <c r="B17" s="20"/>
      <c r="C17" s="20"/>
      <c r="D17" s="20"/>
      <c r="E17" s="20"/>
      <c r="F17" s="20"/>
      <c r="G17" s="20"/>
      <c r="H17" s="20"/>
      <c r="I17" s="20"/>
      <c r="J17" s="20"/>
      <c r="K17" s="20"/>
      <c r="L17" s="32"/>
      <c r="M17" s="32"/>
      <c r="N17" s="32"/>
      <c r="O17" s="32"/>
      <c r="P17" s="32"/>
      <c r="Q17" s="32"/>
      <c r="R17" s="32"/>
      <c r="S17" s="32"/>
      <c r="T17" s="32"/>
      <c r="U17" s="32"/>
      <c r="V17" s="32"/>
      <c r="W17" s="32"/>
      <c r="X17" s="32"/>
      <c r="Y17" s="32"/>
      <c r="Z17" s="32"/>
      <c r="AA17" s="32"/>
      <c r="AB17" s="32"/>
      <c r="AC17" s="32"/>
      <c r="AD17" s="32"/>
      <c r="AE17" s="20"/>
      <c r="AF17" s="20"/>
    </row>
    <row r="18" spans="1:32" x14ac:dyDescent="0.25">
      <c r="A18" s="20"/>
      <c r="B18" s="20"/>
      <c r="C18" s="20"/>
      <c r="D18" s="20"/>
      <c r="E18" s="20"/>
      <c r="F18" s="20"/>
      <c r="G18" s="20"/>
      <c r="H18" s="20"/>
      <c r="I18" s="20"/>
      <c r="J18" s="20"/>
      <c r="K18" s="20"/>
      <c r="L18" s="32"/>
      <c r="M18" s="32"/>
      <c r="N18" s="32"/>
      <c r="O18" s="32"/>
      <c r="P18" s="32"/>
      <c r="Q18" s="32"/>
      <c r="R18" s="32"/>
      <c r="S18" s="32"/>
      <c r="T18" s="32"/>
      <c r="U18" s="32"/>
      <c r="V18" s="32"/>
      <c r="W18" s="32"/>
      <c r="X18" s="32"/>
      <c r="Y18" s="32"/>
      <c r="Z18" s="32"/>
      <c r="AA18" s="32"/>
      <c r="AB18" s="32"/>
      <c r="AC18" s="32"/>
      <c r="AD18" s="32"/>
      <c r="AE18" s="20"/>
      <c r="AF18" s="20"/>
    </row>
    <row r="19" spans="1:32" x14ac:dyDescent="0.25">
      <c r="A19" s="20"/>
      <c r="B19" s="20"/>
      <c r="C19" s="20"/>
      <c r="D19" s="20"/>
      <c r="E19" s="20"/>
      <c r="F19" s="20"/>
      <c r="G19" s="20"/>
      <c r="H19" s="20"/>
      <c r="I19" s="20"/>
      <c r="J19" s="20"/>
      <c r="K19" s="20"/>
      <c r="L19" s="32"/>
      <c r="M19" s="32"/>
      <c r="N19" s="32"/>
      <c r="O19" s="32"/>
      <c r="P19" s="32"/>
      <c r="Q19" s="32"/>
      <c r="R19" s="32"/>
      <c r="S19" s="32"/>
      <c r="T19" s="32"/>
      <c r="U19" s="32"/>
      <c r="V19" s="32"/>
      <c r="W19" s="32"/>
      <c r="X19" s="32"/>
      <c r="Y19" s="32"/>
      <c r="Z19" s="32"/>
      <c r="AA19" s="32"/>
      <c r="AB19" s="32"/>
      <c r="AC19" s="32"/>
      <c r="AD19" s="32"/>
      <c r="AE19" s="20"/>
      <c r="AF19" s="20"/>
    </row>
    <row r="20" spans="1:32" x14ac:dyDescent="0.25">
      <c r="A20" s="20"/>
      <c r="B20" s="20"/>
      <c r="C20" s="20"/>
      <c r="D20" s="20"/>
      <c r="E20" s="20"/>
      <c r="F20" s="20"/>
      <c r="G20" s="20"/>
      <c r="H20" s="20"/>
      <c r="I20" s="20"/>
      <c r="J20" s="20"/>
      <c r="K20" s="20"/>
      <c r="L20" s="32"/>
      <c r="M20" s="32"/>
      <c r="N20" s="32"/>
      <c r="O20" s="32"/>
      <c r="P20" s="32"/>
      <c r="Q20" s="32"/>
      <c r="R20" s="32"/>
      <c r="S20" s="32"/>
      <c r="T20" s="32"/>
      <c r="U20" s="32"/>
      <c r="V20" s="32"/>
      <c r="W20" s="32"/>
      <c r="X20" s="32"/>
      <c r="Y20" s="32"/>
      <c r="Z20" s="32"/>
      <c r="AA20" s="32"/>
      <c r="AB20" s="32"/>
      <c r="AC20" s="32"/>
      <c r="AD20" s="32"/>
      <c r="AE20" s="20"/>
      <c r="AF20" s="20"/>
    </row>
    <row r="21" spans="1:32" x14ac:dyDescent="0.25">
      <c r="A21" s="20"/>
      <c r="B21" s="20"/>
      <c r="C21" s="20"/>
      <c r="D21" s="20"/>
      <c r="E21" s="20"/>
      <c r="F21" s="20"/>
      <c r="G21" s="20"/>
      <c r="H21" s="20"/>
      <c r="I21" s="20"/>
      <c r="J21" s="20"/>
      <c r="K21" s="20"/>
      <c r="L21" s="32"/>
      <c r="M21" s="32"/>
      <c r="N21" s="32"/>
      <c r="O21" s="32"/>
      <c r="P21" s="32"/>
      <c r="Q21" s="32"/>
      <c r="R21" s="32"/>
      <c r="S21" s="32"/>
      <c r="T21" s="32"/>
      <c r="U21" s="32"/>
      <c r="V21" s="32"/>
      <c r="W21" s="32"/>
      <c r="X21" s="32"/>
      <c r="Y21" s="32"/>
      <c r="Z21" s="32"/>
      <c r="AA21" s="32"/>
      <c r="AB21" s="32"/>
      <c r="AC21" s="32"/>
      <c r="AD21" s="32"/>
      <c r="AE21" s="20"/>
      <c r="AF21" s="20"/>
    </row>
    <row r="22" spans="1:32" x14ac:dyDescent="0.25">
      <c r="A22" s="20"/>
      <c r="B22" s="20"/>
      <c r="C22" s="20"/>
      <c r="D22" s="20"/>
      <c r="E22" s="20"/>
      <c r="F22" s="20"/>
      <c r="G22" s="20"/>
      <c r="H22" s="20"/>
      <c r="I22" s="20"/>
      <c r="J22" s="20"/>
      <c r="K22" s="20"/>
      <c r="L22" s="32"/>
      <c r="M22" s="32"/>
      <c r="N22" s="32"/>
      <c r="O22" s="32"/>
      <c r="P22" s="32"/>
      <c r="Q22" s="32"/>
      <c r="R22" s="32"/>
      <c r="S22" s="32"/>
      <c r="T22" s="32"/>
      <c r="U22" s="32"/>
      <c r="V22" s="32"/>
      <c r="W22" s="32"/>
      <c r="X22" s="32"/>
      <c r="Y22" s="32"/>
      <c r="Z22" s="32"/>
      <c r="AA22" s="32"/>
      <c r="AB22" s="32"/>
      <c r="AC22" s="32"/>
      <c r="AD22" s="32"/>
      <c r="AE22" s="20"/>
      <c r="AF22" s="20"/>
    </row>
    <row r="23" spans="1:32" x14ac:dyDescent="0.25">
      <c r="A23" s="20"/>
      <c r="B23" s="20"/>
      <c r="C23" s="20"/>
      <c r="D23" s="20"/>
      <c r="E23" s="20"/>
      <c r="F23" s="20"/>
      <c r="G23" s="20"/>
      <c r="H23" s="20"/>
      <c r="I23" s="20"/>
      <c r="J23" s="20"/>
      <c r="K23" s="20"/>
      <c r="L23" s="32"/>
      <c r="M23" s="32"/>
      <c r="N23" s="32"/>
      <c r="O23" s="32"/>
      <c r="P23" s="32"/>
      <c r="Q23" s="32"/>
      <c r="R23" s="32"/>
      <c r="S23" s="32"/>
      <c r="T23" s="32"/>
      <c r="U23" s="32"/>
      <c r="V23" s="32"/>
      <c r="W23" s="32"/>
      <c r="X23" s="32"/>
      <c r="Y23" s="32"/>
      <c r="Z23" s="32"/>
      <c r="AA23" s="32"/>
      <c r="AB23" s="32"/>
      <c r="AC23" s="32"/>
      <c r="AD23" s="32"/>
      <c r="AE23" s="20"/>
      <c r="AF23" s="20"/>
    </row>
    <row r="24" spans="1:32" x14ac:dyDescent="0.25">
      <c r="A24" s="20"/>
      <c r="B24" s="20"/>
      <c r="C24" s="20"/>
      <c r="D24" s="20"/>
      <c r="E24" s="20"/>
      <c r="F24" s="20"/>
      <c r="G24" s="20"/>
      <c r="H24" s="20"/>
      <c r="I24" s="20"/>
      <c r="J24" s="20"/>
      <c r="K24" s="20"/>
      <c r="L24" s="32"/>
      <c r="M24" s="32"/>
      <c r="N24" s="32"/>
      <c r="O24" s="32"/>
      <c r="P24" s="32"/>
      <c r="Q24" s="32"/>
      <c r="R24" s="32"/>
      <c r="S24" s="32"/>
      <c r="T24" s="32"/>
      <c r="U24" s="32"/>
      <c r="V24" s="32"/>
      <c r="W24" s="32"/>
      <c r="X24" s="32"/>
      <c r="Y24" s="32"/>
      <c r="Z24" s="32"/>
      <c r="AA24" s="32"/>
      <c r="AB24" s="32"/>
      <c r="AC24" s="32"/>
      <c r="AD24" s="32"/>
      <c r="AE24" s="20"/>
      <c r="AF24" s="20"/>
    </row>
    <row r="25" spans="1:32" x14ac:dyDescent="0.25">
      <c r="A25" s="20"/>
      <c r="B25" s="20"/>
      <c r="C25" s="20"/>
      <c r="D25" s="20"/>
      <c r="E25" s="20"/>
      <c r="F25" s="20"/>
      <c r="G25" s="20"/>
      <c r="H25" s="20"/>
      <c r="I25" s="20"/>
      <c r="J25" s="20"/>
      <c r="K25" s="20"/>
      <c r="L25" s="32"/>
      <c r="M25" s="32"/>
      <c r="N25" s="32"/>
      <c r="O25" s="32"/>
      <c r="P25" s="32"/>
      <c r="Q25" s="32"/>
      <c r="R25" s="32"/>
      <c r="S25" s="32"/>
      <c r="T25" s="32"/>
      <c r="U25" s="32"/>
      <c r="V25" s="32"/>
      <c r="W25" s="32"/>
      <c r="X25" s="32"/>
      <c r="Y25" s="32"/>
      <c r="Z25" s="32"/>
      <c r="AA25" s="32"/>
      <c r="AB25" s="32"/>
      <c r="AC25" s="32"/>
      <c r="AD25" s="32"/>
      <c r="AE25" s="20"/>
      <c r="AF25" s="20"/>
    </row>
    <row r="26" spans="1:32" x14ac:dyDescent="0.25">
      <c r="A26" s="20"/>
      <c r="B26" s="20"/>
      <c r="C26" s="20"/>
      <c r="D26" s="20"/>
      <c r="E26" s="20"/>
      <c r="F26" s="20"/>
      <c r="G26" s="20"/>
      <c r="H26" s="20"/>
      <c r="I26" s="20"/>
      <c r="J26" s="20"/>
      <c r="K26" s="20"/>
      <c r="L26" s="32"/>
      <c r="M26" s="32"/>
      <c r="N26" s="32"/>
      <c r="O26" s="32"/>
      <c r="P26" s="32"/>
      <c r="Q26" s="32"/>
      <c r="R26" s="32"/>
      <c r="S26" s="32"/>
      <c r="T26" s="32"/>
      <c r="U26" s="32"/>
      <c r="V26" s="32"/>
      <c r="W26" s="32"/>
      <c r="X26" s="32"/>
      <c r="Y26" s="32"/>
      <c r="Z26" s="32"/>
      <c r="AA26" s="32"/>
      <c r="AB26" s="32"/>
      <c r="AC26" s="32"/>
      <c r="AD26" s="32"/>
      <c r="AE26" s="20"/>
      <c r="AF26" s="20"/>
    </row>
    <row r="27" spans="1:32" x14ac:dyDescent="0.25">
      <c r="A27" s="20"/>
      <c r="B27" s="20"/>
      <c r="C27" s="20"/>
      <c r="D27" s="20"/>
      <c r="E27" s="20"/>
      <c r="F27" s="20"/>
      <c r="G27" s="20"/>
      <c r="H27" s="20"/>
      <c r="I27" s="20"/>
      <c r="J27" s="20"/>
      <c r="K27" s="20"/>
      <c r="L27" s="32"/>
      <c r="M27" s="32"/>
      <c r="N27" s="32"/>
      <c r="O27" s="32"/>
      <c r="P27" s="32"/>
      <c r="Q27" s="32"/>
      <c r="R27" s="32"/>
      <c r="S27" s="32"/>
      <c r="T27" s="32"/>
      <c r="U27" s="32"/>
      <c r="V27" s="32"/>
      <c r="W27" s="32"/>
      <c r="X27" s="32"/>
      <c r="Y27" s="32"/>
      <c r="Z27" s="32"/>
      <c r="AA27" s="32"/>
      <c r="AB27" s="32"/>
      <c r="AC27" s="32"/>
      <c r="AD27" s="32"/>
      <c r="AE27" s="20"/>
      <c r="AF27" s="20"/>
    </row>
    <row r="28" spans="1:32" x14ac:dyDescent="0.25">
      <c r="A28" s="20"/>
      <c r="B28" s="20"/>
      <c r="C28" s="20"/>
      <c r="D28" s="20"/>
      <c r="E28" s="20"/>
      <c r="F28" s="20"/>
      <c r="G28" s="20"/>
      <c r="H28" s="20"/>
      <c r="I28" s="20"/>
      <c r="J28" s="20"/>
      <c r="K28" s="20"/>
      <c r="L28" s="32"/>
      <c r="M28" s="32"/>
      <c r="N28" s="32"/>
      <c r="O28" s="32"/>
      <c r="P28" s="32"/>
      <c r="Q28" s="32"/>
      <c r="R28" s="32"/>
      <c r="S28" s="32"/>
      <c r="T28" s="32"/>
      <c r="U28" s="32"/>
      <c r="V28" s="32"/>
      <c r="W28" s="32"/>
      <c r="X28" s="32"/>
      <c r="Y28" s="32"/>
      <c r="Z28" s="32"/>
      <c r="AA28" s="32"/>
      <c r="AB28" s="32"/>
    </row>
    <row r="29" spans="1:32" x14ac:dyDescent="0.25">
      <c r="A29" s="20"/>
      <c r="B29" s="20"/>
      <c r="C29" s="20"/>
      <c r="D29" s="20"/>
      <c r="E29" s="20"/>
      <c r="F29" s="20"/>
      <c r="G29" s="20"/>
      <c r="H29" s="20"/>
      <c r="I29" s="20"/>
      <c r="J29" s="20"/>
      <c r="K29" s="20"/>
      <c r="L29" s="32"/>
      <c r="M29" s="32"/>
      <c r="N29" s="32"/>
      <c r="O29" s="32"/>
      <c r="P29" s="32"/>
      <c r="Q29" s="32"/>
      <c r="R29" s="32"/>
      <c r="S29" s="32"/>
      <c r="T29" s="32"/>
      <c r="U29" s="32"/>
      <c r="V29" s="32"/>
      <c r="W29" s="32"/>
      <c r="X29" s="32"/>
      <c r="Y29" s="32"/>
      <c r="Z29" s="32"/>
      <c r="AA29" s="32"/>
      <c r="AB29" s="32"/>
    </row>
    <row r="30" spans="1:32" x14ac:dyDescent="0.25">
      <c r="A30" s="20"/>
      <c r="B30" s="20"/>
      <c r="C30" s="20"/>
      <c r="D30" s="20"/>
      <c r="E30" s="20"/>
      <c r="F30" s="20"/>
      <c r="G30" s="20"/>
      <c r="H30" s="20"/>
      <c r="I30" s="20"/>
      <c r="J30" s="20"/>
      <c r="K30" s="20"/>
      <c r="L30" s="32"/>
      <c r="M30" s="32"/>
      <c r="N30" s="32"/>
      <c r="O30" s="32"/>
      <c r="P30" s="32"/>
      <c r="Q30" s="32"/>
      <c r="R30" s="32"/>
      <c r="S30" s="32"/>
      <c r="T30" s="32"/>
      <c r="U30" s="32"/>
      <c r="V30" s="32"/>
      <c r="W30" s="32"/>
      <c r="X30" s="32"/>
      <c r="Y30" s="32"/>
      <c r="Z30" s="32"/>
      <c r="AA30" s="32"/>
      <c r="AB30" s="32"/>
    </row>
    <row r="31" spans="1:32" x14ac:dyDescent="0.25">
      <c r="A31" s="20"/>
      <c r="B31" s="20"/>
      <c r="C31" s="20"/>
      <c r="D31" s="20"/>
      <c r="E31" s="20"/>
      <c r="F31" s="20"/>
      <c r="G31" s="20"/>
      <c r="H31" s="20"/>
      <c r="I31" s="20"/>
      <c r="J31" s="20"/>
      <c r="K31" s="20"/>
      <c r="L31" s="32"/>
      <c r="M31" s="32"/>
      <c r="N31" s="32"/>
      <c r="O31" s="32"/>
      <c r="P31" s="32"/>
      <c r="Q31" s="32"/>
      <c r="R31" s="32"/>
      <c r="S31" s="32"/>
      <c r="T31" s="32"/>
      <c r="U31" s="32"/>
      <c r="V31" s="32"/>
      <c r="W31" s="32"/>
      <c r="X31" s="32"/>
      <c r="Y31" s="32"/>
      <c r="Z31" s="32"/>
      <c r="AA31" s="32"/>
      <c r="AB31" s="32"/>
    </row>
    <row r="32" spans="1:32" x14ac:dyDescent="0.25">
      <c r="A32" s="20"/>
      <c r="B32" s="20"/>
      <c r="C32" s="20"/>
      <c r="D32" s="20"/>
      <c r="E32" s="20"/>
      <c r="F32" s="20"/>
      <c r="G32" s="20"/>
      <c r="H32" s="20"/>
      <c r="I32" s="20"/>
      <c r="J32" s="20"/>
      <c r="K32" s="20"/>
      <c r="L32" s="32"/>
      <c r="M32" s="32"/>
      <c r="N32" s="32"/>
      <c r="O32" s="32"/>
      <c r="P32" s="32"/>
      <c r="Q32" s="32"/>
      <c r="R32" s="32"/>
      <c r="S32" s="32"/>
      <c r="T32" s="32"/>
      <c r="U32" s="32"/>
      <c r="V32" s="32"/>
      <c r="W32" s="32"/>
      <c r="X32" s="32"/>
      <c r="Y32" s="32"/>
      <c r="Z32" s="32"/>
      <c r="AA32" s="32"/>
      <c r="AB32" s="32"/>
    </row>
    <row r="33" spans="1:34" x14ac:dyDescent="0.25">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row>
    <row r="34" spans="1:34" x14ac:dyDescent="0.25">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row>
    <row r="35" spans="1:34" x14ac:dyDescent="0.2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row>
    <row r="36" spans="1:34"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row>
    <row r="37" spans="1:34"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row>
    <row r="38" spans="1:34"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row>
    <row r="39" spans="1:34"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row>
    <row r="40" spans="1:34"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row>
    <row r="41" spans="1:34"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row>
    <row r="42" spans="1:34"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row>
    <row r="43" spans="1:34"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row>
    <row r="44" spans="1:34"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row>
    <row r="45" spans="1:34" x14ac:dyDescent="0.2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row>
    <row r="46" spans="1:34" x14ac:dyDescent="0.2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row>
    <row r="47" spans="1:34" x14ac:dyDescent="0.2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row>
    <row r="48" spans="1:34" x14ac:dyDescent="0.2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row>
    <row r="49" spans="1:34" x14ac:dyDescent="0.2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row>
    <row r="50" spans="1:34" x14ac:dyDescent="0.2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row>
    <row r="51" spans="1:34" x14ac:dyDescent="0.2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row>
    <row r="52" spans="1:34" x14ac:dyDescent="0.2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row>
    <row r="53" spans="1:34" x14ac:dyDescent="0.2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row>
    <row r="54" spans="1:34" x14ac:dyDescent="0.2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row>
    <row r="55" spans="1:34" x14ac:dyDescent="0.2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row>
    <row r="56" spans="1:34" x14ac:dyDescent="0.2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row>
    <row r="57" spans="1:34" x14ac:dyDescent="0.2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row>
    <row r="58" spans="1:34" x14ac:dyDescent="0.2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row>
    <row r="59" spans="1:34" x14ac:dyDescent="0.2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row>
    <row r="60" spans="1:34" x14ac:dyDescent="0.25">
      <c r="A60" s="20"/>
      <c r="B60" s="20"/>
      <c r="C60" s="20"/>
      <c r="D60" s="20"/>
      <c r="E60" s="20"/>
      <c r="F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row>
  </sheetData>
  <pageMargins left="0.7" right="0.7" top="0.75" bottom="0.75" header="0.3" footer="0.3"/>
  <pageSetup orientation="portrait" horizontalDpi="200" verticalDpi="200" r:id="rId1"/>
  <drawing r:id="rId2"/>
  <extLst>
    <ext xmlns:x14="http://schemas.microsoft.com/office/spreadsheetml/2009/9/main" uri="{78C0D931-6437-407d-A8EE-F0AAD7539E65}">
      <x14:conditionalFormattings>
        <x14:conditionalFormatting xmlns:xm="http://schemas.microsoft.com/office/excel/2006/main">
          <x14:cfRule type="expression" priority="2" id="{E794ED6E-E954-4C57-89B9-4DDE4BD11F83}">
            <xm:f>$H$13=pivots!$A$57</xm:f>
            <x14:dxf>
              <fill>
                <patternFill>
                  <bgColor theme="6" tint="0.79998168889431442"/>
                </patternFill>
              </fill>
              <border>
                <left style="thin">
                  <color auto="1"/>
                </left>
                <right style="thin">
                  <color auto="1"/>
                </right>
                <vertical/>
                <horizontal/>
              </border>
            </x14:dxf>
          </x14:cfRule>
          <x14:cfRule type="expression" priority="3" id="{18C0B39B-56C3-480F-8B3D-E10A738DAABC}">
            <xm:f>$H$13=pivots!$A$57</xm:f>
            <x14:dxf>
              <fill>
                <patternFill>
                  <bgColor theme="2"/>
                </patternFill>
              </fill>
              <border>
                <left style="thin">
                  <color auto="1"/>
                </left>
                <right style="thin">
                  <color auto="1"/>
                </right>
                <vertical/>
                <horizontal/>
              </border>
            </x14:dxf>
          </x14:cfRule>
          <xm:sqref>H13:L13</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Assets</vt:lpstr>
      <vt:lpstr>MY 1ST EXCEL PROJECT CALL CENTE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SATHISH KUMAR</cp:lastModifiedBy>
  <dcterms:created xsi:type="dcterms:W3CDTF">2021-03-14T20:21:32Z</dcterms:created>
  <dcterms:modified xsi:type="dcterms:W3CDTF">2026-05-27T08:06:20Z</dcterms:modified>
</cp:coreProperties>
</file>